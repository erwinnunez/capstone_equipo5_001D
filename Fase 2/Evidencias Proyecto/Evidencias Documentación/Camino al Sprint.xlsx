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4"/>
    <sheet state="visible" name="Historias de usuario" sheetId="2" r:id="rId5"/>
    <sheet state="visible" name="Backlog Priorizado" sheetId="3" r:id="rId6"/>
    <sheet state="visible" name="Product Backlog Ordenado" sheetId="4" r:id="rId7"/>
    <sheet state="visible" name="Sprints" sheetId="5" r:id="rId8"/>
  </sheets>
  <definedNames/>
  <calcPr/>
</workbook>
</file>

<file path=xl/sharedStrings.xml><?xml version="1.0" encoding="utf-8"?>
<sst xmlns="http://schemas.openxmlformats.org/spreadsheetml/2006/main" count="237" uniqueCount="93">
  <si>
    <t>Id</t>
  </si>
  <si>
    <t>Epicas</t>
  </si>
  <si>
    <t>US-SEC-0009</t>
  </si>
  <si>
    <t>Garantizar el acceso seguro al sistema mediante RBAC (roles y permisos) y un registro de auditoría que asegure trazabilidad de todas las acciones.</t>
  </si>
  <si>
    <t>US-REG-0001</t>
  </si>
  <si>
    <t>Permitir que los pacientes (o sus cuidadores) registren mediciones de salud relevantes (glucosa, presión, oxígeno, temperatura, etc.) para su monitoreo continuo.</t>
  </si>
  <si>
    <t>US-RAN-0003</t>
  </si>
  <si>
    <t>Ofrecer a los médicos la posibilidad de definir umbrales y parámetros de control específicos por paciente, para personalizar la detección de riesgos.</t>
  </si>
  <si>
    <t>US-ALR-0004</t>
  </si>
  <si>
    <t>Detectar automáticamente mediciones fuera de rango y generar alertas con niveles de severidad, priorizando su seguimiento por parte del equipo médico y cuidadores.</t>
  </si>
  <si>
    <t>US-DAS-0005</t>
  </si>
  <si>
    <t>Brindar a los médicos un panel interactivo con visualización de tendencias, filtros y priorización de casos críticos para apoyar la toma de decisiones.</t>
  </si>
  <si>
    <t>US-NOT-0006</t>
  </si>
  <si>
    <t>Habilitar un sistema de notificaciones configurables que alerte a cuidadores y familiares sobre riesgos clínicos en tiempo real.</t>
  </si>
  <si>
    <t>US-REP-0007</t>
  </si>
  <si>
    <t>Proporcionar herramientas para generar reportes personalizados (PDF, Excel) que respalden la evaluación clínica y permitan documentar la evolución del paciente.</t>
  </si>
  <si>
    <t>US-CUI-0002</t>
  </si>
  <si>
    <t>Permitir que cuidadores autorizados ingresen parámetros en nombre de los pacientes, asegurando continuidad en el monitoreo y validaciones de permisos</t>
  </si>
  <si>
    <t>US-GAM-0008</t>
  </si>
  <si>
    <t>Implementar un sistema de puntos, logros e incentivos para motivar a los pacientes a mantener constancia en el registro de sus parámetros clínicos</t>
  </si>
  <si>
    <t>Id Epica</t>
  </si>
  <si>
    <t>Id HU</t>
  </si>
  <si>
    <t>Historia de usuario</t>
  </si>
  <si>
    <t>Como administrador, quiero crear y gestionar roles del sistema (paciente, médico, cuidador, admin), para asignar permisos adecuados.</t>
  </si>
  <si>
    <t>Como administrador, quiero asignar y modificar permisos a cada rol, para controlar accesos de forma granular.</t>
  </si>
  <si>
    <t>Como sistema, necesito registrar en un log las acciones críticas (login, CRUD de datos clínicos), para asegurar trazabilidad</t>
  </si>
  <si>
    <t>Como administrador, quiero consultar un historial de auditoría filtrable por usuario/acción/fecha, para detectar irregularidades.</t>
  </si>
  <si>
    <t>Como paciente, quiero ingresar mis mediciones (glucosa, presión, oxígeno, temperatura), para mantener un historial personal.</t>
  </si>
  <si>
    <t>Como sistema, necesito validar que las mediciones estén dentro de valores plausibles, para evitar errores de digitación.</t>
  </si>
  <si>
    <t>Como paciente, quiero visualizar mis últimas mediciones en una lista, para dar seguimiento diario.</t>
  </si>
  <si>
    <t>Como médico, quiero configurar valores mínimos y máximos por parámetro en cada paciente, para personalizar su monitoreo.</t>
  </si>
  <si>
    <t>Como sistema, necesito aplicar esas configuraciones al evaluar las mediciones, para detectar riesgos.</t>
  </si>
  <si>
    <t>Como médico, quiero actualizar y versionar los umbrales configurados, para mantener trazabilidad de los cambios.</t>
  </si>
  <si>
    <t>Como sistema, necesito generar una alerta automática cuando un parámetro supere el umbral, para notificar oportunamente al equipo médico.</t>
  </si>
  <si>
    <t>Como médico, quiero recibir alertas agrupadas si un paciente registra varias anormalidades en un periodo corto, para evitar duplicados.</t>
  </si>
  <si>
    <t>Como equipo médico, quiero marcar una alerta como revisada o atendida, para mantener el control de seguimiento.</t>
  </si>
  <si>
    <t>Como médico, quiero visualizar un dashboard con los pacientes en mayor riesgo primero, para priorizar atenciones.</t>
  </si>
  <si>
    <t>Como médico, quiero aplicar filtros por fecha, paciente y severidad de alerta, para analizar casos específicos.</t>
  </si>
  <si>
    <t>Como médico, quiero ver gráficas de tendencia de un paciente en los últimos 30 días, para evaluar su evolución.</t>
  </si>
  <si>
    <t>Como cuidador, quiero recibir una notificación cuando el paciente tenga una alerta fuera de rango, para reaccionar a tiempo.</t>
  </si>
  <si>
    <t>Como cuidador, quiero configurar qué tipo de alertas quiero recibir (ej: solo críticas), para no saturarme de mensajes.</t>
  </si>
  <si>
    <t>Como sistema, necesito enviar notificaciones vía correo, para asegurar alcance.</t>
  </si>
  <si>
    <t>Como médico, quiero generar un reporte en PDF con las últimas mediciones de un paciente, para respaldar decisiones.</t>
  </si>
  <si>
    <t>Como médico, quiero exportar un reporte en Excel con todas las mediciones, para analizar tendencias en detalle.</t>
  </si>
  <si>
    <t>Como sistema, necesito registrar en la auditoría cada exportación de reporte, para asegurar trazabilidad.</t>
  </si>
  <si>
    <t>Como cuidador, quiero registrar parámetros en nombre del paciente, para asegurar continuidad del monitoreo.</t>
  </si>
  <si>
    <t>Como sistema, necesito validar que el cuidador tenga permisos sobre el paciente, para evitar registros indebidos.</t>
  </si>
  <si>
    <t>Como cuidador, quiero seleccionar al paciente desde una lista autorizada, para no confundir registros.</t>
  </si>
  <si>
    <t>Como paciente, quiero recibir puntos cada vez que registro mis parámetros, para motivarme a cumplir la rutina.</t>
  </si>
  <si>
    <t>Como sistema, necesito asignar insignias por cumplir metas semanales, para reforzar la adherencia.</t>
  </si>
  <si>
    <t>Como paciente, quiero ver mi progreso en un panel de logros, para mantenerme motivado.</t>
  </si>
  <si>
    <t>Como sistema, quiero enviar recordatorios si el paciente no registra nada en 24h, para fomentar la adherencia.</t>
  </si>
  <si>
    <t>Historia de Usuario</t>
  </si>
  <si>
    <t>Prioridad</t>
  </si>
  <si>
    <t>Estimación (Puntos)</t>
  </si>
  <si>
    <t>Estimación (Puntos): Usando Secuencia de Fibonacci clásica (1, 2, 3, 5, 8, 13, 21, etc.)</t>
  </si>
  <si>
    <t>S</t>
  </si>
  <si>
    <t>Cantidad</t>
  </si>
  <si>
    <t>Puntaje total</t>
  </si>
  <si>
    <t>M</t>
  </si>
  <si>
    <t>XS</t>
  </si>
  <si>
    <t>L</t>
  </si>
  <si>
    <t>XL</t>
  </si>
  <si>
    <t>Totales</t>
  </si>
  <si>
    <t>Como sistema, necesito aplicar configuraciones de valores al evaluar las mediciones, para detectar riesgos.</t>
  </si>
  <si>
    <t>Nº</t>
  </si>
  <si>
    <t>Total puntos:</t>
  </si>
  <si>
    <t>Sprints</t>
  </si>
  <si>
    <t>Historias incluidas</t>
  </si>
  <si>
    <t>Puntos</t>
  </si>
  <si>
    <t>Total acumulado</t>
  </si>
  <si>
    <t>Comentario</t>
  </si>
  <si>
    <t>Inicio Sprint</t>
  </si>
  <si>
    <t>Fin Sprint</t>
  </si>
  <si>
    <t>Duración total (días)</t>
  </si>
  <si>
    <t>Sprint 1</t>
  </si>
  <si>
    <t>#1, #2, #5, #6, #7</t>
  </si>
  <si>
    <t>Inicio y base funcional: roles básicos, registro de parámetros clínicos, validación y visualización mínima (MVP).</t>
  </si>
  <si>
    <t>Sprint 2</t>
  </si>
  <si>
    <t>#8, #9, #10, #11</t>
  </si>
  <si>
    <t>Módulo clínico central: configuración de umbrales por paciente, aplicación de reglas y generación de alertas.</t>
  </si>
  <si>
    <t>Sprint 3</t>
  </si>
  <si>
    <t>#14, #15, #16</t>
  </si>
  <si>
    <t>Análisis avanzado: dashboard con priorización, filtros y gráficas de evolución de pacientes.</t>
  </si>
  <si>
    <t>Sprint 4</t>
  </si>
  <si>
    <t>#17, #18, #19, #20, #21</t>
  </si>
  <si>
    <t>Notificaciones y reportes: alertas configurables, notificación multicanal y exportación de datos (PDF/Excel).</t>
  </si>
  <si>
    <t>Sprint 5</t>
  </si>
  <si>
    <t>#3, #4, #12, #13, #22</t>
  </si>
  <si>
    <t>Seguridad y trazabilidad: logs, auditoría, control de alertas y registro</t>
  </si>
  <si>
    <t>Sprint 6</t>
  </si>
  <si>
    <t>#23, #24, #25, #26, #27, #28, #29</t>
  </si>
  <si>
    <t>Extensiones de valor: módulo de cuidadores + gamificación (puntos, logros, recordatorios)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</si>
</sst>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1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</font>
    <font>
      <color theme="1"/>
      <name val="Arial"/>
    </font>
    <font>
      <b/>
      <sz val="12.0"/>
      <color rgb="FF00FF00"/>
      <name val="Calibri"/>
    </font>
    <font>
      <b/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56854"/>
        <bgColor rgb="FF356854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56854"/>
      </left>
      <top style="thin">
        <color rgb="FF284E3F"/>
      </top>
    </border>
    <border>
      <top style="thin">
        <color rgb="FF284E3F"/>
      </top>
    </border>
    <border>
      <right style="thin">
        <color rgb="FF356854"/>
      </right>
      <top style="thin">
        <color rgb="FF284E3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top style="thin">
        <color rgb="FF284E3F"/>
      </top>
      <bottom style="thin">
        <color rgb="FF284E3F"/>
      </bottom>
    </border>
    <border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wrapText="1"/>
    </xf>
    <xf borderId="6" fillId="0" fontId="3" numFmtId="0" xfId="0" applyBorder="1" applyFont="1"/>
    <xf borderId="7" fillId="0" fontId="3" numFmtId="0" xfId="0" applyBorder="1" applyFont="1"/>
    <xf borderId="5" fillId="4" fontId="2" numFmtId="0" xfId="0" applyAlignment="1" applyBorder="1" applyFill="1" applyFont="1">
      <alignment vertical="center"/>
    </xf>
    <xf borderId="5" fillId="5" fontId="2" numFmtId="0" xfId="0" applyAlignment="1" applyBorder="1" applyFill="1" applyFont="1">
      <alignment vertical="center"/>
    </xf>
    <xf borderId="5" fillId="6" fontId="2" numFmtId="0" xfId="0" applyAlignment="1" applyBorder="1" applyFill="1" applyFont="1">
      <alignment vertical="center"/>
    </xf>
    <xf borderId="5" fillId="0" fontId="2" numFmtId="0" xfId="0" applyAlignment="1" applyBorder="1" applyFont="1">
      <alignment vertical="center"/>
    </xf>
    <xf borderId="5" fillId="7" fontId="2" numFmtId="0" xfId="0" applyAlignment="1" applyBorder="1" applyFill="1" applyFont="1">
      <alignment vertical="center"/>
    </xf>
    <xf borderId="5" fillId="8" fontId="2" numFmtId="0" xfId="0" applyAlignment="1" applyBorder="1" applyFill="1" applyFont="1">
      <alignment vertical="center"/>
    </xf>
    <xf borderId="5" fillId="9" fontId="2" numFmtId="0" xfId="0" applyAlignment="1" applyBorder="1" applyFill="1" applyFont="1">
      <alignment vertical="center"/>
    </xf>
    <xf borderId="5" fillId="10" fontId="2" numFmtId="0" xfId="0" applyAlignment="1" applyBorder="1" applyFill="1" applyFont="1">
      <alignment vertical="center"/>
    </xf>
    <xf borderId="0" fillId="11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shrinkToFit="0" vertical="center" wrapText="1"/>
    </xf>
    <xf borderId="0" fillId="11" fontId="5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borderId="8" fillId="12" fontId="5" numFmtId="0" xfId="0" applyAlignment="1" applyBorder="1" applyFill="1" applyFont="1">
      <alignment horizontal="center" shrinkToFit="0" vertical="center" wrapText="1"/>
    </xf>
    <xf borderId="9" fillId="13" fontId="3" numFmtId="0" xfId="0" applyBorder="1" applyFill="1" applyFont="1"/>
    <xf borderId="10" fillId="13" fontId="3" numFmtId="0" xfId="0" applyBorder="1" applyFont="1"/>
    <xf borderId="1" fillId="12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ont="1">
      <alignment horizontal="center" shrinkToFit="0" wrapText="1"/>
    </xf>
    <xf borderId="0" fillId="11" fontId="2" numFmtId="0" xfId="0" applyAlignment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readingOrder="0" shrinkToFit="0" vertical="center" wrapText="1"/>
    </xf>
    <xf borderId="2" fillId="11" fontId="4" numFmtId="0" xfId="0" applyAlignment="1" applyBorder="1" applyFont="1">
      <alignment readingOrder="0" shrinkToFit="0" wrapText="1"/>
    </xf>
    <xf borderId="3" fillId="11" fontId="3" numFmtId="0" xfId="0" applyBorder="1" applyFont="1"/>
    <xf borderId="4" fillId="11" fontId="3" numFmtId="0" xfId="0" applyBorder="1" applyFont="1"/>
    <xf borderId="1" fillId="11" fontId="6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1" fillId="14" fontId="5" numFmtId="0" xfId="0" applyAlignment="1" applyBorder="1" applyFill="1" applyFont="1">
      <alignment horizontal="center" shrinkToFit="0" wrapText="1"/>
    </xf>
    <xf borderId="1" fillId="15" fontId="2" numFmtId="0" xfId="0" applyAlignment="1" applyBorder="1" applyFill="1" applyFont="1">
      <alignment horizontal="center" readingOrder="0" shrinkToFit="0" vertical="center" wrapText="1"/>
    </xf>
    <xf borderId="2" fillId="15" fontId="4" numFmtId="0" xfId="0" applyAlignment="1" applyBorder="1" applyFont="1">
      <alignment readingOrder="0" shrinkToFit="0" wrapText="1"/>
    </xf>
    <xf borderId="3" fillId="15" fontId="3" numFmtId="0" xfId="0" applyBorder="1" applyFont="1"/>
    <xf borderId="4" fillId="15" fontId="3" numFmtId="0" xfId="0" applyBorder="1" applyFont="1"/>
    <xf borderId="1" fillId="15" fontId="6" numFmtId="0" xfId="0" applyAlignment="1" applyBorder="1" applyFont="1">
      <alignment horizontal="center" readingOrder="0" shrinkToFit="0" vertical="center" wrapText="1"/>
    </xf>
    <xf borderId="1" fillId="15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/>
    </xf>
    <xf borderId="0" fillId="11" fontId="2" numFmtId="0" xfId="0" applyAlignment="1" applyFont="1">
      <alignment horizontal="center" shrinkToFit="0" wrapText="1"/>
    </xf>
    <xf borderId="1" fillId="11" fontId="2" numFmtId="0" xfId="0" applyAlignment="1" applyBorder="1" applyFont="1">
      <alignment horizontal="center" shrinkToFit="0" wrapText="1"/>
    </xf>
    <xf borderId="2" fillId="11" fontId="8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15" fontId="2" numFmtId="0" xfId="0" applyAlignment="1" applyBorder="1" applyFont="1">
      <alignment horizontal="center" shrinkToFit="0" wrapText="1"/>
    </xf>
    <xf borderId="2" fillId="15" fontId="8" numFmtId="0" xfId="0" applyAlignment="1" applyBorder="1" applyFont="1">
      <alignment shrinkToFit="0" vertical="bottom" wrapText="1"/>
    </xf>
    <xf borderId="1" fillId="14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2" fillId="11" fontId="8" numFmtId="0" xfId="0" applyAlignment="1" applyBorder="1" applyFont="1">
      <alignment readingOrder="0" shrinkToFit="0" vertical="bottom" wrapText="1"/>
    </xf>
    <xf borderId="1" fillId="16" fontId="5" numFmtId="0" xfId="0" applyAlignment="1" applyBorder="1" applyFill="1" applyFont="1">
      <alignment horizontal="center" shrinkToFit="0" wrapText="1"/>
    </xf>
    <xf borderId="5" fillId="11" fontId="2" numFmtId="0" xfId="0" applyAlignment="1" applyBorder="1" applyFont="1">
      <alignment horizontal="center" shrinkToFit="0" wrapText="1"/>
    </xf>
    <xf borderId="11" fillId="11" fontId="8" numFmtId="0" xfId="0" applyAlignment="1" applyBorder="1" applyFont="1">
      <alignment shrinkToFit="0" vertical="bottom" wrapText="1"/>
    </xf>
    <xf borderId="12" fillId="11" fontId="3" numFmtId="0" xfId="0" applyBorder="1" applyFont="1"/>
    <xf borderId="13" fillId="11" fontId="3" numFmtId="0" xfId="0" applyBorder="1" applyFont="1"/>
    <xf borderId="5" fillId="11" fontId="6" numFmtId="0" xfId="0" applyAlignment="1" applyBorder="1" applyFont="1">
      <alignment horizontal="center" readingOrder="0" shrinkToFit="0" vertical="center" wrapText="1"/>
    </xf>
    <xf borderId="5" fillId="11" fontId="5" numFmtId="0" xfId="0" applyAlignment="1" applyBorder="1" applyFont="1">
      <alignment horizontal="center" readingOrder="0" shrinkToFit="0" vertical="center" wrapText="1"/>
    </xf>
    <xf borderId="12" fillId="11" fontId="2" numFmtId="0" xfId="0" applyAlignment="1" applyBorder="1" applyFont="1">
      <alignment horizontal="center" readingOrder="0" shrinkToFit="0" vertical="center" wrapText="1"/>
    </xf>
    <xf borderId="14" fillId="12" fontId="7" numFmtId="0" xfId="0" applyAlignment="1" applyBorder="1" applyFont="1">
      <alignment horizontal="center" shrinkToFit="0" wrapText="1"/>
    </xf>
    <xf borderId="15" fillId="12" fontId="7" numFmtId="0" xfId="0" applyAlignment="1" applyBorder="1" applyFont="1">
      <alignment horizontal="center" shrinkToFit="0" wrapText="1"/>
    </xf>
    <xf borderId="16" fillId="13" fontId="3" numFmtId="0" xfId="0" applyBorder="1" applyFont="1"/>
    <xf borderId="17" fillId="13" fontId="3" numFmtId="0" xfId="0" applyBorder="1" applyFont="1"/>
    <xf borderId="18" fillId="12" fontId="7" numFmtId="0" xfId="0" applyAlignment="1" applyBorder="1" applyFont="1">
      <alignment horizontal="center" shrinkToFit="0" wrapText="1"/>
    </xf>
    <xf borderId="19" fillId="12" fontId="7" numFmtId="0" xfId="0" applyAlignment="1" applyBorder="1" applyFont="1">
      <alignment horizontal="center" shrinkToFit="0" wrapText="1"/>
    </xf>
    <xf borderId="1" fillId="11" fontId="2" numFmtId="0" xfId="0" applyAlignment="1" applyBorder="1" applyFont="1">
      <alignment horizontal="center" shrinkToFit="0" vertical="bottom" wrapText="1"/>
    </xf>
    <xf borderId="2" fillId="11" fontId="8" numFmtId="0" xfId="0" applyAlignment="1" applyBorder="1" applyFont="1">
      <alignment shrinkToFit="0" vertical="bottom" wrapText="1"/>
    </xf>
    <xf borderId="1" fillId="11" fontId="6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15" fontId="2" numFmtId="0" xfId="0" applyAlignment="1" applyBorder="1" applyFont="1">
      <alignment horizontal="center" shrinkToFit="0" vertical="bottom" wrapText="1"/>
    </xf>
    <xf borderId="2" fillId="15" fontId="8" numFmtId="0" xfId="0" applyAlignment="1" applyBorder="1" applyFont="1">
      <alignment shrinkToFit="0" vertical="bottom" wrapText="1"/>
    </xf>
    <xf borderId="1" fillId="15" fontId="6" numFmtId="0" xfId="0" applyAlignment="1" applyBorder="1" applyFont="1">
      <alignment horizontal="center" shrinkToFit="0" wrapText="1"/>
    </xf>
    <xf borderId="1" fillId="15" fontId="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shrinkToFit="0" vertical="bottom" wrapText="1"/>
    </xf>
    <xf borderId="1" fillId="15" fontId="2" numFmtId="0" xfId="0" applyAlignment="1" applyBorder="1" applyFont="1">
      <alignment horizontal="center" shrinkToFit="0" vertical="bottom" wrapText="1"/>
    </xf>
    <xf borderId="1" fillId="11" fontId="2" numFmtId="0" xfId="0" applyAlignment="1" applyBorder="1" applyFont="1">
      <alignment horizontal="center" shrinkToFit="0" wrapText="1"/>
    </xf>
    <xf borderId="1" fillId="15" fontId="2" numFmtId="0" xfId="0" applyAlignment="1" applyBorder="1" applyFont="1">
      <alignment horizontal="center" shrinkToFit="0" wrapText="1"/>
    </xf>
    <xf borderId="14" fillId="17" fontId="7" numFmtId="0" xfId="0" applyAlignment="1" applyBorder="1" applyFill="1" applyFont="1">
      <alignment horizontal="center" shrinkToFit="0" wrapText="1"/>
    </xf>
    <xf borderId="20" fillId="17" fontId="7" numFmtId="0" xfId="0" applyAlignment="1" applyBorder="1" applyFont="1">
      <alignment horizontal="center" shrinkToFit="0" wrapText="1"/>
    </xf>
    <xf borderId="18" fillId="17" fontId="7" numFmtId="0" xfId="0" applyAlignment="1" applyBorder="1" applyFont="1">
      <alignment horizontal="center" shrinkToFit="0" wrapText="1"/>
    </xf>
    <xf borderId="21" fillId="17" fontId="7" numFmtId="0" xfId="0" applyAlignment="1" applyBorder="1" applyFont="1">
      <alignment horizontal="center" shrinkToFit="0" wrapText="1"/>
    </xf>
    <xf borderId="20" fillId="17" fontId="10" numFmtId="0" xfId="0" applyAlignment="1" applyBorder="1" applyFont="1">
      <alignment horizontal="center" shrinkToFit="0" wrapText="1"/>
    </xf>
    <xf borderId="1" fillId="11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15" fontId="7" numFmtId="0" xfId="0" applyAlignment="1" applyBorder="1" applyFont="1">
      <alignment horizontal="center" shrinkToFit="0" vertical="center" wrapText="1"/>
    </xf>
    <xf borderId="1" fillId="15" fontId="8" numFmtId="0" xfId="0" applyAlignment="1" applyBorder="1" applyFont="1">
      <alignment horizontal="center" readingOrder="0" shrinkToFit="0" vertical="center" wrapText="1"/>
    </xf>
    <xf borderId="1" fillId="15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pri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I9" displayName="Table_1" name="Table_1" id="1">
  <tableColumns count="8">
    <tableColumn name="Sprints" id="1"/>
    <tableColumn name="Historias incluidas" id="2"/>
    <tableColumn name="Puntos" id="3"/>
    <tableColumn name="Total acumulado" id="4"/>
    <tableColumn name="Comentario" id="5"/>
    <tableColumn name="Inicio Sprint" id="6"/>
    <tableColumn name="Fin Sprint" id="7"/>
    <tableColumn name="Duración total (días)" id="8"/>
  </tableColumns>
  <tableStyleInfo name="Spr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4.88"/>
    <col customWidth="1" min="4" max="5" width="14.38"/>
  </cols>
  <sheetData>
    <row r="1">
      <c r="A1" s="5" t="s">
        <v>20</v>
      </c>
      <c r="B1" s="2" t="s">
        <v>21</v>
      </c>
      <c r="C1" s="6" t="s">
        <v>22</v>
      </c>
      <c r="D1" s="7"/>
      <c r="E1" s="8"/>
    </row>
    <row r="2">
      <c r="A2" s="9" t="s">
        <v>2</v>
      </c>
      <c r="B2" s="10">
        <v>1.0</v>
      </c>
      <c r="C2" s="11" t="s">
        <v>23</v>
      </c>
      <c r="D2" s="7"/>
      <c r="E2" s="8"/>
    </row>
    <row r="3">
      <c r="A3" s="12"/>
      <c r="B3" s="10">
        <v>2.0</v>
      </c>
      <c r="C3" s="11" t="s">
        <v>24</v>
      </c>
      <c r="D3" s="7"/>
      <c r="E3" s="8"/>
    </row>
    <row r="4">
      <c r="A4" s="12"/>
      <c r="B4" s="10">
        <v>3.0</v>
      </c>
      <c r="C4" s="11" t="s">
        <v>25</v>
      </c>
      <c r="D4" s="7"/>
      <c r="E4" s="8"/>
    </row>
    <row r="5">
      <c r="A5" s="13"/>
      <c r="B5" s="10">
        <v>4.0</v>
      </c>
      <c r="C5" s="11" t="s">
        <v>26</v>
      </c>
      <c r="D5" s="7"/>
      <c r="E5" s="8"/>
    </row>
    <row r="6">
      <c r="A6" s="14" t="s">
        <v>4</v>
      </c>
      <c r="B6" s="10">
        <v>5.0</v>
      </c>
      <c r="C6" s="11" t="s">
        <v>27</v>
      </c>
      <c r="D6" s="7"/>
      <c r="E6" s="8"/>
    </row>
    <row r="7">
      <c r="A7" s="12"/>
      <c r="B7" s="10">
        <v>6.0</v>
      </c>
      <c r="C7" s="11" t="s">
        <v>28</v>
      </c>
      <c r="D7" s="7"/>
      <c r="E7" s="8"/>
    </row>
    <row r="8">
      <c r="A8" s="13"/>
      <c r="B8" s="10">
        <v>7.0</v>
      </c>
      <c r="C8" s="11" t="s">
        <v>29</v>
      </c>
      <c r="D8" s="7"/>
      <c r="E8" s="8"/>
    </row>
    <row r="9">
      <c r="A9" s="15" t="s">
        <v>6</v>
      </c>
      <c r="B9" s="10">
        <v>8.0</v>
      </c>
      <c r="C9" s="11" t="s">
        <v>30</v>
      </c>
      <c r="D9" s="7"/>
      <c r="E9" s="8"/>
    </row>
    <row r="10">
      <c r="A10" s="12"/>
      <c r="B10" s="10">
        <v>9.0</v>
      </c>
      <c r="C10" s="11" t="s">
        <v>31</v>
      </c>
      <c r="D10" s="7"/>
      <c r="E10" s="8"/>
    </row>
    <row r="11">
      <c r="A11" s="13"/>
      <c r="B11" s="10">
        <v>10.0</v>
      </c>
      <c r="C11" s="11" t="s">
        <v>32</v>
      </c>
      <c r="D11" s="7"/>
      <c r="E11" s="8"/>
    </row>
    <row r="12">
      <c r="A12" s="16" t="s">
        <v>8</v>
      </c>
      <c r="B12" s="10">
        <v>11.0</v>
      </c>
      <c r="C12" s="11" t="s">
        <v>33</v>
      </c>
      <c r="D12" s="7"/>
      <c r="E12" s="8"/>
    </row>
    <row r="13">
      <c r="A13" s="12"/>
      <c r="B13" s="10">
        <v>12.0</v>
      </c>
      <c r="C13" s="11" t="s">
        <v>34</v>
      </c>
      <c r="D13" s="7"/>
      <c r="E13" s="8"/>
    </row>
    <row r="14">
      <c r="A14" s="13"/>
      <c r="B14" s="10">
        <v>13.0</v>
      </c>
      <c r="C14" s="11" t="s">
        <v>35</v>
      </c>
      <c r="D14" s="7"/>
      <c r="E14" s="8"/>
    </row>
    <row r="15">
      <c r="A15" s="17" t="s">
        <v>10</v>
      </c>
      <c r="B15" s="10">
        <v>14.0</v>
      </c>
      <c r="C15" s="11" t="s">
        <v>36</v>
      </c>
      <c r="D15" s="7"/>
      <c r="E15" s="8"/>
    </row>
    <row r="16">
      <c r="A16" s="12"/>
      <c r="B16" s="10">
        <v>15.0</v>
      </c>
      <c r="C16" s="11" t="s">
        <v>37</v>
      </c>
      <c r="D16" s="7"/>
      <c r="E16" s="8"/>
    </row>
    <row r="17">
      <c r="A17" s="13"/>
      <c r="B17" s="10">
        <v>16.0</v>
      </c>
      <c r="C17" s="11" t="s">
        <v>38</v>
      </c>
      <c r="D17" s="7"/>
      <c r="E17" s="8"/>
    </row>
    <row r="18">
      <c r="A18" s="18" t="s">
        <v>12</v>
      </c>
      <c r="B18" s="10">
        <v>17.0</v>
      </c>
      <c r="C18" s="11" t="s">
        <v>39</v>
      </c>
      <c r="D18" s="7"/>
      <c r="E18" s="8"/>
    </row>
    <row r="19">
      <c r="A19" s="12"/>
      <c r="B19" s="10">
        <v>18.0</v>
      </c>
      <c r="C19" s="11" t="s">
        <v>40</v>
      </c>
      <c r="D19" s="7"/>
      <c r="E19" s="8"/>
    </row>
    <row r="20">
      <c r="A20" s="13"/>
      <c r="B20" s="10">
        <v>19.0</v>
      </c>
      <c r="C20" s="11" t="s">
        <v>41</v>
      </c>
      <c r="D20" s="7"/>
      <c r="E20" s="8"/>
    </row>
    <row r="21">
      <c r="A21" s="19" t="s">
        <v>14</v>
      </c>
      <c r="B21" s="10">
        <v>20.0</v>
      </c>
      <c r="C21" s="11" t="s">
        <v>42</v>
      </c>
      <c r="D21" s="7"/>
      <c r="E21" s="8"/>
    </row>
    <row r="22">
      <c r="A22" s="12"/>
      <c r="B22" s="10">
        <v>21.0</v>
      </c>
      <c r="C22" s="11" t="s">
        <v>43</v>
      </c>
      <c r="D22" s="7"/>
      <c r="E22" s="8"/>
    </row>
    <row r="23">
      <c r="A23" s="13"/>
      <c r="B23" s="10">
        <v>22.0</v>
      </c>
      <c r="C23" s="11" t="s">
        <v>44</v>
      </c>
      <c r="D23" s="7"/>
      <c r="E23" s="8"/>
    </row>
    <row r="24">
      <c r="A24" s="20" t="s">
        <v>16</v>
      </c>
      <c r="B24" s="10">
        <v>23.0</v>
      </c>
      <c r="C24" s="11" t="s">
        <v>45</v>
      </c>
      <c r="D24" s="7"/>
      <c r="E24" s="8"/>
    </row>
    <row r="25">
      <c r="A25" s="12"/>
      <c r="B25" s="10">
        <v>24.0</v>
      </c>
      <c r="C25" s="11" t="s">
        <v>46</v>
      </c>
      <c r="D25" s="7"/>
      <c r="E25" s="8"/>
    </row>
    <row r="26">
      <c r="A26" s="13"/>
      <c r="B26" s="10">
        <v>25.0</v>
      </c>
      <c r="C26" s="11" t="s">
        <v>47</v>
      </c>
      <c r="D26" s="7"/>
      <c r="E26" s="8"/>
    </row>
    <row r="27">
      <c r="A27" s="21" t="s">
        <v>18</v>
      </c>
      <c r="B27" s="10">
        <v>26.0</v>
      </c>
      <c r="C27" s="11" t="s">
        <v>48</v>
      </c>
      <c r="D27" s="7"/>
      <c r="E27" s="8"/>
    </row>
    <row r="28">
      <c r="A28" s="12"/>
      <c r="B28" s="10">
        <v>27.0</v>
      </c>
      <c r="C28" s="11" t="s">
        <v>49</v>
      </c>
      <c r="D28" s="7"/>
      <c r="E28" s="8"/>
    </row>
    <row r="29">
      <c r="A29" s="12"/>
      <c r="B29" s="10">
        <v>28.0</v>
      </c>
      <c r="C29" s="11" t="s">
        <v>50</v>
      </c>
      <c r="D29" s="7"/>
      <c r="E29" s="8"/>
    </row>
    <row r="30">
      <c r="A30" s="13"/>
      <c r="B30" s="10">
        <v>29.0</v>
      </c>
      <c r="C30" s="11" t="s">
        <v>51</v>
      </c>
      <c r="D30" s="7"/>
      <c r="E30" s="8"/>
    </row>
  </sheetData>
  <mergeCells count="39">
    <mergeCell ref="C6:E6"/>
    <mergeCell ref="C7:E7"/>
    <mergeCell ref="A6:A8"/>
    <mergeCell ref="A9:A11"/>
    <mergeCell ref="A12:A14"/>
    <mergeCell ref="A15:A17"/>
    <mergeCell ref="A18:A20"/>
    <mergeCell ref="A21:A23"/>
    <mergeCell ref="A24:A26"/>
    <mergeCell ref="A27:A30"/>
    <mergeCell ref="C1:E1"/>
    <mergeCell ref="A2:A5"/>
    <mergeCell ref="C2:E2"/>
    <mergeCell ref="C3:E3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15:E15"/>
    <mergeCell ref="C23:E23"/>
    <mergeCell ref="C24:E24"/>
    <mergeCell ref="C25:E25"/>
    <mergeCell ref="C26:E26"/>
    <mergeCell ref="C27:E27"/>
    <mergeCell ref="C28:E28"/>
    <mergeCell ref="C29:E29"/>
    <mergeCell ref="C30:E30"/>
    <mergeCell ref="C16:E16"/>
    <mergeCell ref="C17:E17"/>
    <mergeCell ref="C18:E18"/>
    <mergeCell ref="C19:E19"/>
    <mergeCell ref="C20:E20"/>
    <mergeCell ref="C21:E21"/>
    <mergeCell ref="C22:E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14.0"/>
    <col customWidth="1" min="5" max="5" width="16.38"/>
    <col customWidth="1" min="6" max="6" width="15.13"/>
    <col customWidth="1" min="7" max="7" width="15.63"/>
  </cols>
  <sheetData>
    <row r="1" ht="33.0" customHeight="1">
      <c r="A1" s="22"/>
      <c r="B1" s="23"/>
      <c r="C1" s="24"/>
      <c r="D1" s="24"/>
      <c r="E1" s="24"/>
      <c r="F1" s="24"/>
      <c r="G1" s="24"/>
      <c r="H1" s="25"/>
      <c r="J1" s="26"/>
      <c r="K1" s="26"/>
      <c r="L1" s="26"/>
    </row>
    <row r="2">
      <c r="A2" s="22"/>
      <c r="B2" s="2" t="s">
        <v>21</v>
      </c>
      <c r="C2" s="27" t="s">
        <v>52</v>
      </c>
      <c r="D2" s="28"/>
      <c r="E2" s="29"/>
      <c r="F2" s="27" t="s">
        <v>53</v>
      </c>
      <c r="G2" s="30" t="s">
        <v>54</v>
      </c>
      <c r="H2" s="31"/>
      <c r="J2" s="11" t="s">
        <v>55</v>
      </c>
      <c r="K2" s="7"/>
      <c r="L2" s="8"/>
    </row>
    <row r="3">
      <c r="A3" s="32"/>
      <c r="B3" s="33">
        <v>1.0</v>
      </c>
      <c r="C3" s="34" t="s">
        <v>23</v>
      </c>
      <c r="D3" s="35"/>
      <c r="E3" s="36"/>
      <c r="F3" s="37" t="s">
        <v>56</v>
      </c>
      <c r="G3" s="38">
        <v>5.0</v>
      </c>
      <c r="H3" s="39"/>
    </row>
    <row r="4">
      <c r="A4" s="32"/>
      <c r="B4" s="40">
        <v>2.0</v>
      </c>
      <c r="C4" s="41" t="s">
        <v>24</v>
      </c>
      <c r="D4" s="42"/>
      <c r="E4" s="43"/>
      <c r="F4" s="44" t="s">
        <v>56</v>
      </c>
      <c r="G4" s="45">
        <v>3.0</v>
      </c>
      <c r="H4" s="39"/>
      <c r="J4" s="46" t="s">
        <v>53</v>
      </c>
      <c r="K4" s="46" t="s">
        <v>57</v>
      </c>
      <c r="L4" s="46" t="s">
        <v>58</v>
      </c>
    </row>
    <row r="5">
      <c r="A5" s="47"/>
      <c r="B5" s="48">
        <v>3.0</v>
      </c>
      <c r="C5" s="49" t="s">
        <v>25</v>
      </c>
      <c r="D5" s="35"/>
      <c r="E5" s="36"/>
      <c r="F5" s="37" t="s">
        <v>59</v>
      </c>
      <c r="G5" s="38">
        <v>8.0</v>
      </c>
      <c r="H5" s="39"/>
      <c r="J5" s="50" t="s">
        <v>60</v>
      </c>
      <c r="K5" s="51">
        <f>COUNTIF('Backlog Priorizado'!$F$3:$F$31, J5)</f>
        <v>4</v>
      </c>
      <c r="L5" s="52">
        <f>SUMIF('Backlog Priorizado'!$F$3:$F$31, J5, 'Backlog Priorizado'!$G$3:G$31)</f>
        <v>13</v>
      </c>
    </row>
    <row r="6">
      <c r="A6" s="47"/>
      <c r="B6" s="53">
        <v>4.0</v>
      </c>
      <c r="C6" s="54" t="s">
        <v>26</v>
      </c>
      <c r="D6" s="42"/>
      <c r="E6" s="43"/>
      <c r="F6" s="44" t="s">
        <v>59</v>
      </c>
      <c r="G6" s="45">
        <v>8.0</v>
      </c>
      <c r="H6" s="39"/>
      <c r="J6" s="50" t="s">
        <v>56</v>
      </c>
      <c r="K6" s="51">
        <f>COUNTIF('Backlog Priorizado'!$F$3:$F$31, J6)</f>
        <v>14</v>
      </c>
      <c r="L6" s="52">
        <f>SUMIF('Backlog Priorizado'!$F$3:$F$31, J6, 'Backlog Priorizado'!$G$3:G$31)</f>
        <v>65</v>
      </c>
    </row>
    <row r="7">
      <c r="A7" s="47"/>
      <c r="B7" s="48">
        <v>5.0</v>
      </c>
      <c r="C7" s="49" t="s">
        <v>27</v>
      </c>
      <c r="D7" s="35"/>
      <c r="E7" s="36"/>
      <c r="F7" s="37" t="s">
        <v>59</v>
      </c>
      <c r="G7" s="38">
        <v>5.0</v>
      </c>
      <c r="H7" s="55"/>
      <c r="J7" s="50" t="s">
        <v>59</v>
      </c>
      <c r="K7" s="51">
        <f>COUNTIF('Backlog Priorizado'!$F$3:$F$31, J7)</f>
        <v>10</v>
      </c>
      <c r="L7" s="52">
        <f>SUMIF('Backlog Priorizado'!$F$3:$F$31, J7, 'Backlog Priorizado'!$G$3:G$31)</f>
        <v>71</v>
      </c>
    </row>
    <row r="8">
      <c r="A8" s="47"/>
      <c r="B8" s="53">
        <v>6.0</v>
      </c>
      <c r="C8" s="54" t="s">
        <v>28</v>
      </c>
      <c r="D8" s="42"/>
      <c r="E8" s="43"/>
      <c r="F8" s="44" t="s">
        <v>60</v>
      </c>
      <c r="G8" s="45">
        <v>3.0</v>
      </c>
      <c r="H8" s="39"/>
      <c r="J8" s="50" t="s">
        <v>61</v>
      </c>
      <c r="K8" s="51">
        <f>COUNTIF('Backlog Priorizado'!$F$3:$F$31, J8)</f>
        <v>1</v>
      </c>
      <c r="L8" s="52">
        <f>SUMIF('Backlog Priorizado'!$F$3:$F$31, J8, 'Backlog Priorizado'!$G$3:G$31)</f>
        <v>13</v>
      </c>
    </row>
    <row r="9">
      <c r="A9" s="47"/>
      <c r="B9" s="48">
        <v>7.0</v>
      </c>
      <c r="C9" s="49" t="s">
        <v>29</v>
      </c>
      <c r="D9" s="35"/>
      <c r="E9" s="36"/>
      <c r="F9" s="37" t="s">
        <v>56</v>
      </c>
      <c r="G9" s="38">
        <v>3.0</v>
      </c>
      <c r="H9" s="39"/>
      <c r="J9" s="50" t="s">
        <v>62</v>
      </c>
      <c r="K9" s="51">
        <f>COUNTIF('Backlog Priorizado'!$F$3:$F$31, J9)</f>
        <v>0</v>
      </c>
      <c r="L9" s="52">
        <f>SUMIF('Backlog Priorizado'!$F$3:$F$31, J9, 'Backlog Priorizado'!$G$3:G$31)</f>
        <v>0</v>
      </c>
    </row>
    <row r="10">
      <c r="A10" s="47"/>
      <c r="B10" s="53">
        <v>8.0</v>
      </c>
      <c r="C10" s="54" t="s">
        <v>30</v>
      </c>
      <c r="D10" s="42"/>
      <c r="E10" s="43"/>
      <c r="F10" s="44" t="s">
        <v>59</v>
      </c>
      <c r="G10" s="45">
        <v>8.0</v>
      </c>
      <c r="H10" s="39"/>
      <c r="J10" s="56" t="s">
        <v>63</v>
      </c>
      <c r="K10" s="56">
        <f t="shared" ref="K10:L10" si="1">SUM(K5:K9)</f>
        <v>29</v>
      </c>
      <c r="L10" s="56">
        <f t="shared" si="1"/>
        <v>162</v>
      </c>
    </row>
    <row r="11">
      <c r="A11" s="47"/>
      <c r="B11" s="48">
        <v>9.0</v>
      </c>
      <c r="C11" s="57" t="s">
        <v>64</v>
      </c>
      <c r="D11" s="35"/>
      <c r="E11" s="36"/>
      <c r="F11" s="37" t="s">
        <v>56</v>
      </c>
      <c r="G11" s="38">
        <v>3.0</v>
      </c>
      <c r="H11" s="39"/>
    </row>
    <row r="12">
      <c r="A12" s="47"/>
      <c r="B12" s="53">
        <v>10.0</v>
      </c>
      <c r="C12" s="54" t="s">
        <v>32</v>
      </c>
      <c r="D12" s="42"/>
      <c r="E12" s="43"/>
      <c r="F12" s="44" t="s">
        <v>56</v>
      </c>
      <c r="G12" s="45">
        <v>3.0</v>
      </c>
      <c r="H12" s="39"/>
    </row>
    <row r="13">
      <c r="A13" s="47"/>
      <c r="B13" s="48">
        <v>11.0</v>
      </c>
      <c r="C13" s="49" t="s">
        <v>33</v>
      </c>
      <c r="D13" s="35"/>
      <c r="E13" s="36"/>
      <c r="F13" s="37" t="s">
        <v>59</v>
      </c>
      <c r="G13" s="38">
        <v>8.0</v>
      </c>
      <c r="H13" s="39"/>
    </row>
    <row r="14">
      <c r="A14" s="47"/>
      <c r="B14" s="53">
        <v>12.0</v>
      </c>
      <c r="C14" s="54" t="s">
        <v>34</v>
      </c>
      <c r="D14" s="42"/>
      <c r="E14" s="43"/>
      <c r="F14" s="44" t="s">
        <v>56</v>
      </c>
      <c r="G14" s="45">
        <v>5.0</v>
      </c>
      <c r="H14" s="39"/>
    </row>
    <row r="15">
      <c r="A15" s="47"/>
      <c r="B15" s="48">
        <v>13.0</v>
      </c>
      <c r="C15" s="49" t="s">
        <v>35</v>
      </c>
      <c r="D15" s="35"/>
      <c r="E15" s="36"/>
      <c r="F15" s="37" t="s">
        <v>60</v>
      </c>
      <c r="G15" s="38">
        <v>2.0</v>
      </c>
      <c r="H15" s="39"/>
    </row>
    <row r="16">
      <c r="A16" s="47"/>
      <c r="B16" s="53">
        <v>14.0</v>
      </c>
      <c r="C16" s="54" t="s">
        <v>36</v>
      </c>
      <c r="D16" s="42"/>
      <c r="E16" s="43"/>
      <c r="F16" s="44" t="s">
        <v>61</v>
      </c>
      <c r="G16" s="45">
        <v>13.0</v>
      </c>
      <c r="H16" s="39"/>
    </row>
    <row r="17">
      <c r="A17" s="47"/>
      <c r="B17" s="48">
        <v>15.0</v>
      </c>
      <c r="C17" s="49" t="s">
        <v>37</v>
      </c>
      <c r="D17" s="35"/>
      <c r="E17" s="36"/>
      <c r="F17" s="37" t="s">
        <v>56</v>
      </c>
      <c r="G17" s="38">
        <v>5.0</v>
      </c>
      <c r="H17" s="39"/>
    </row>
    <row r="18">
      <c r="A18" s="47"/>
      <c r="B18" s="53">
        <v>16.0</v>
      </c>
      <c r="C18" s="54" t="s">
        <v>38</v>
      </c>
      <c r="D18" s="42"/>
      <c r="E18" s="43"/>
      <c r="F18" s="44" t="s">
        <v>59</v>
      </c>
      <c r="G18" s="45">
        <v>8.0</v>
      </c>
      <c r="H18" s="39"/>
    </row>
    <row r="19">
      <c r="A19" s="47"/>
      <c r="B19" s="48">
        <v>17.0</v>
      </c>
      <c r="C19" s="49" t="s">
        <v>39</v>
      </c>
      <c r="D19" s="35"/>
      <c r="E19" s="36"/>
      <c r="F19" s="37" t="s">
        <v>59</v>
      </c>
      <c r="G19" s="38">
        <v>5.0</v>
      </c>
      <c r="H19" s="39"/>
    </row>
    <row r="20">
      <c r="A20" s="47"/>
      <c r="B20" s="53">
        <v>18.0</v>
      </c>
      <c r="C20" s="54" t="s">
        <v>40</v>
      </c>
      <c r="D20" s="42"/>
      <c r="E20" s="43"/>
      <c r="F20" s="44" t="s">
        <v>56</v>
      </c>
      <c r="G20" s="45">
        <v>5.0</v>
      </c>
      <c r="H20" s="39"/>
    </row>
    <row r="21">
      <c r="A21" s="47"/>
      <c r="B21" s="48">
        <v>19.0</v>
      </c>
      <c r="C21" s="57" t="s">
        <v>41</v>
      </c>
      <c r="D21" s="35"/>
      <c r="E21" s="36"/>
      <c r="F21" s="37" t="s">
        <v>59</v>
      </c>
      <c r="G21" s="38">
        <v>8.0</v>
      </c>
      <c r="H21" s="39"/>
    </row>
    <row r="22">
      <c r="A22" s="47"/>
      <c r="B22" s="53">
        <v>20.0</v>
      </c>
      <c r="C22" s="54" t="s">
        <v>42</v>
      </c>
      <c r="D22" s="42"/>
      <c r="E22" s="43"/>
      <c r="F22" s="44" t="s">
        <v>59</v>
      </c>
      <c r="G22" s="45">
        <v>8.0</v>
      </c>
      <c r="H22" s="39"/>
    </row>
    <row r="23">
      <c r="A23" s="47"/>
      <c r="B23" s="48">
        <v>21.0</v>
      </c>
      <c r="C23" s="49" t="s">
        <v>43</v>
      </c>
      <c r="D23" s="35"/>
      <c r="E23" s="36"/>
      <c r="F23" s="37" t="s">
        <v>59</v>
      </c>
      <c r="G23" s="38">
        <v>5.0</v>
      </c>
      <c r="H23" s="39"/>
    </row>
    <row r="24">
      <c r="A24" s="47"/>
      <c r="B24" s="53">
        <v>22.0</v>
      </c>
      <c r="C24" s="54" t="s">
        <v>44</v>
      </c>
      <c r="D24" s="42"/>
      <c r="E24" s="43"/>
      <c r="F24" s="44" t="s">
        <v>56</v>
      </c>
      <c r="G24" s="45">
        <v>8.0</v>
      </c>
      <c r="H24" s="58"/>
    </row>
    <row r="25">
      <c r="A25" s="47"/>
      <c r="B25" s="48">
        <v>23.0</v>
      </c>
      <c r="C25" s="49" t="s">
        <v>45</v>
      </c>
      <c r="D25" s="35"/>
      <c r="E25" s="36"/>
      <c r="F25" s="37" t="s">
        <v>56</v>
      </c>
      <c r="G25" s="38">
        <v>5.0</v>
      </c>
      <c r="H25" s="39"/>
    </row>
    <row r="26">
      <c r="A26" s="47"/>
      <c r="B26" s="53">
        <v>24.0</v>
      </c>
      <c r="C26" s="54" t="s">
        <v>46</v>
      </c>
      <c r="D26" s="42"/>
      <c r="E26" s="43"/>
      <c r="F26" s="44" t="s">
        <v>60</v>
      </c>
      <c r="G26" s="45">
        <v>5.0</v>
      </c>
      <c r="H26" s="39"/>
    </row>
    <row r="27">
      <c r="A27" s="47"/>
      <c r="B27" s="48">
        <v>25.0</v>
      </c>
      <c r="C27" s="49" t="s">
        <v>47</v>
      </c>
      <c r="D27" s="35"/>
      <c r="E27" s="36"/>
      <c r="F27" s="37" t="s">
        <v>56</v>
      </c>
      <c r="G27" s="38">
        <v>5.0</v>
      </c>
      <c r="H27" s="39"/>
    </row>
    <row r="28">
      <c r="A28" s="47"/>
      <c r="B28" s="53">
        <v>26.0</v>
      </c>
      <c r="C28" s="54" t="s">
        <v>48</v>
      </c>
      <c r="D28" s="42"/>
      <c r="E28" s="43"/>
      <c r="F28" s="44" t="s">
        <v>56</v>
      </c>
      <c r="G28" s="45">
        <v>5.0</v>
      </c>
      <c r="H28" s="39"/>
    </row>
    <row r="29">
      <c r="A29" s="47"/>
      <c r="B29" s="48">
        <v>27.0</v>
      </c>
      <c r="C29" s="49" t="s">
        <v>49</v>
      </c>
      <c r="D29" s="35"/>
      <c r="E29" s="36"/>
      <c r="F29" s="37" t="s">
        <v>60</v>
      </c>
      <c r="G29" s="38">
        <v>3.0</v>
      </c>
      <c r="H29" s="39"/>
    </row>
    <row r="30">
      <c r="A30" s="47"/>
      <c r="B30" s="53">
        <v>28.0</v>
      </c>
      <c r="C30" s="54" t="s">
        <v>50</v>
      </c>
      <c r="D30" s="42"/>
      <c r="E30" s="43"/>
      <c r="F30" s="44" t="s">
        <v>56</v>
      </c>
      <c r="G30" s="45">
        <v>5.0</v>
      </c>
      <c r="H30" s="39"/>
    </row>
    <row r="31">
      <c r="A31" s="47"/>
      <c r="B31" s="59">
        <v>29.0</v>
      </c>
      <c r="C31" s="60" t="s">
        <v>51</v>
      </c>
      <c r="D31" s="61"/>
      <c r="E31" s="62"/>
      <c r="F31" s="63" t="s">
        <v>56</v>
      </c>
      <c r="G31" s="64">
        <v>5.0</v>
      </c>
      <c r="H31" s="58"/>
    </row>
    <row r="32">
      <c r="A32" s="32"/>
      <c r="B32" s="65"/>
      <c r="C32" s="65"/>
      <c r="D32" s="65"/>
      <c r="E32" s="65"/>
      <c r="F32" s="65"/>
      <c r="G32" s="65"/>
      <c r="H32" s="65"/>
    </row>
    <row r="33">
      <c r="A33" s="32"/>
      <c r="B33" s="32"/>
      <c r="C33" s="32"/>
      <c r="D33" s="32"/>
      <c r="E33" s="32"/>
      <c r="F33" s="32"/>
      <c r="G33" s="32"/>
      <c r="H33" s="32"/>
    </row>
  </sheetData>
  <mergeCells count="31">
    <mergeCell ref="C2:E2"/>
    <mergeCell ref="J2:L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9:E29"/>
    <mergeCell ref="C30:E30"/>
    <mergeCell ref="C31:E31"/>
    <mergeCell ref="C22:E22"/>
    <mergeCell ref="C23:E23"/>
    <mergeCell ref="C24:E24"/>
    <mergeCell ref="C25:E25"/>
    <mergeCell ref="C26:E26"/>
    <mergeCell ref="C27:E27"/>
    <mergeCell ref="C28:E28"/>
  </mergeCells>
  <dataValidations>
    <dataValidation type="list" allowBlank="1" sqref="J5:J9">
      <formula1>"XS,S,M,L,XL"</formula1>
    </dataValidation>
    <dataValidation type="list" allowBlank="1" showErrorMessage="1" sqref="F3:F31">
      <formula1>"L,M,S,XS"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66" t="s">
        <v>65</v>
      </c>
      <c r="C2" s="67" t="s">
        <v>52</v>
      </c>
      <c r="D2" s="68"/>
      <c r="E2" s="69"/>
      <c r="F2" s="70" t="s">
        <v>53</v>
      </c>
      <c r="G2" s="71" t="s">
        <v>54</v>
      </c>
    </row>
    <row r="3">
      <c r="B3" s="72">
        <v>6.0</v>
      </c>
      <c r="C3" s="73" t="s">
        <v>28</v>
      </c>
      <c r="D3" s="35"/>
      <c r="E3" s="36"/>
      <c r="F3" s="74" t="s">
        <v>60</v>
      </c>
      <c r="G3" s="75">
        <v>3.0</v>
      </c>
    </row>
    <row r="4">
      <c r="B4" s="76">
        <v>13.0</v>
      </c>
      <c r="C4" s="77" t="s">
        <v>35</v>
      </c>
      <c r="D4" s="42"/>
      <c r="E4" s="43"/>
      <c r="F4" s="78" t="s">
        <v>60</v>
      </c>
      <c r="G4" s="79">
        <v>2.0</v>
      </c>
      <c r="I4" s="80" t="s">
        <v>66</v>
      </c>
      <c r="J4" s="81">
        <f>SUM(G3:G6)</f>
        <v>13</v>
      </c>
    </row>
    <row r="5">
      <c r="B5" s="82">
        <v>24.0</v>
      </c>
      <c r="C5" s="73" t="s">
        <v>46</v>
      </c>
      <c r="D5" s="35"/>
      <c r="E5" s="36"/>
      <c r="F5" s="74" t="s">
        <v>60</v>
      </c>
      <c r="G5" s="75">
        <v>5.0</v>
      </c>
    </row>
    <row r="6">
      <c r="B6" s="83">
        <v>27.0</v>
      </c>
      <c r="C6" s="77" t="s">
        <v>49</v>
      </c>
      <c r="D6" s="42"/>
      <c r="E6" s="43"/>
      <c r="F6" s="78" t="s">
        <v>60</v>
      </c>
      <c r="G6" s="79">
        <v>3.0</v>
      </c>
    </row>
    <row r="10">
      <c r="B10" s="66" t="s">
        <v>65</v>
      </c>
      <c r="C10" s="67" t="s">
        <v>52</v>
      </c>
      <c r="D10" s="68"/>
      <c r="E10" s="69"/>
      <c r="F10" s="70" t="s">
        <v>53</v>
      </c>
      <c r="G10" s="71" t="s">
        <v>54</v>
      </c>
    </row>
    <row r="11">
      <c r="B11" s="84">
        <v>1.0</v>
      </c>
      <c r="C11" s="73" t="s">
        <v>23</v>
      </c>
      <c r="D11" s="35"/>
      <c r="E11" s="36"/>
      <c r="F11" s="74" t="s">
        <v>56</v>
      </c>
      <c r="G11" s="75">
        <v>5.0</v>
      </c>
    </row>
    <row r="12">
      <c r="B12" s="85">
        <v>2.0</v>
      </c>
      <c r="C12" s="77" t="s">
        <v>24</v>
      </c>
      <c r="D12" s="42"/>
      <c r="E12" s="43"/>
      <c r="F12" s="78" t="s">
        <v>56</v>
      </c>
      <c r="G12" s="79">
        <v>3.0</v>
      </c>
      <c r="I12" s="80" t="s">
        <v>66</v>
      </c>
      <c r="J12" s="81">
        <f>SUM(G11:G24)</f>
        <v>65</v>
      </c>
    </row>
    <row r="13">
      <c r="B13" s="82">
        <v>7.0</v>
      </c>
      <c r="C13" s="73" t="s">
        <v>29</v>
      </c>
      <c r="D13" s="35"/>
      <c r="E13" s="36"/>
      <c r="F13" s="74" t="s">
        <v>56</v>
      </c>
      <c r="G13" s="75">
        <v>3.0</v>
      </c>
    </row>
    <row r="14">
      <c r="B14" s="83">
        <v>9.0</v>
      </c>
      <c r="C14" s="77" t="s">
        <v>64</v>
      </c>
      <c r="D14" s="42"/>
      <c r="E14" s="43"/>
      <c r="F14" s="78" t="s">
        <v>56</v>
      </c>
      <c r="G14" s="79">
        <v>3.0</v>
      </c>
    </row>
    <row r="15">
      <c r="B15" s="82">
        <v>10.0</v>
      </c>
      <c r="C15" s="73" t="s">
        <v>32</v>
      </c>
      <c r="D15" s="35"/>
      <c r="E15" s="36"/>
      <c r="F15" s="74" t="s">
        <v>56</v>
      </c>
      <c r="G15" s="75">
        <v>3.0</v>
      </c>
    </row>
    <row r="16">
      <c r="B16" s="83">
        <v>12.0</v>
      </c>
      <c r="C16" s="77" t="s">
        <v>34</v>
      </c>
      <c r="D16" s="42"/>
      <c r="E16" s="43"/>
      <c r="F16" s="78" t="s">
        <v>56</v>
      </c>
      <c r="G16" s="79">
        <v>5.0</v>
      </c>
    </row>
    <row r="17">
      <c r="B17" s="82">
        <v>15.0</v>
      </c>
      <c r="C17" s="73" t="s">
        <v>37</v>
      </c>
      <c r="D17" s="35"/>
      <c r="E17" s="36"/>
      <c r="F17" s="74" t="s">
        <v>56</v>
      </c>
      <c r="G17" s="75">
        <v>5.0</v>
      </c>
    </row>
    <row r="18">
      <c r="B18" s="83">
        <v>18.0</v>
      </c>
      <c r="C18" s="77" t="s">
        <v>40</v>
      </c>
      <c r="D18" s="42"/>
      <c r="E18" s="43"/>
      <c r="F18" s="78" t="s">
        <v>56</v>
      </c>
      <c r="G18" s="79">
        <v>5.0</v>
      </c>
    </row>
    <row r="19">
      <c r="B19" s="82">
        <v>22.0</v>
      </c>
      <c r="C19" s="73" t="s">
        <v>44</v>
      </c>
      <c r="D19" s="35"/>
      <c r="E19" s="36"/>
      <c r="F19" s="74" t="s">
        <v>56</v>
      </c>
      <c r="G19" s="75">
        <v>8.0</v>
      </c>
    </row>
    <row r="20">
      <c r="B20" s="83">
        <v>23.0</v>
      </c>
      <c r="C20" s="77" t="s">
        <v>45</v>
      </c>
      <c r="D20" s="42"/>
      <c r="E20" s="43"/>
      <c r="F20" s="78" t="s">
        <v>56</v>
      </c>
      <c r="G20" s="79">
        <v>5.0</v>
      </c>
    </row>
    <row r="21">
      <c r="B21" s="82">
        <v>25.0</v>
      </c>
      <c r="C21" s="73" t="s">
        <v>47</v>
      </c>
      <c r="D21" s="35"/>
      <c r="E21" s="36"/>
      <c r="F21" s="74" t="s">
        <v>56</v>
      </c>
      <c r="G21" s="75">
        <v>5.0</v>
      </c>
    </row>
    <row r="22">
      <c r="B22" s="83">
        <v>26.0</v>
      </c>
      <c r="C22" s="77" t="s">
        <v>48</v>
      </c>
      <c r="D22" s="42"/>
      <c r="E22" s="43"/>
      <c r="F22" s="78" t="s">
        <v>56</v>
      </c>
      <c r="G22" s="79">
        <v>5.0</v>
      </c>
    </row>
    <row r="23">
      <c r="B23" s="82">
        <v>28.0</v>
      </c>
      <c r="C23" s="73" t="s">
        <v>50</v>
      </c>
      <c r="D23" s="35"/>
      <c r="E23" s="36"/>
      <c r="F23" s="74" t="s">
        <v>56</v>
      </c>
      <c r="G23" s="75">
        <v>5.0</v>
      </c>
    </row>
    <row r="24">
      <c r="B24" s="83">
        <v>29.0</v>
      </c>
      <c r="C24" s="77" t="s">
        <v>51</v>
      </c>
      <c r="D24" s="42"/>
      <c r="E24" s="43"/>
      <c r="F24" s="78" t="s">
        <v>56</v>
      </c>
      <c r="G24" s="79">
        <v>5.0</v>
      </c>
    </row>
    <row r="27">
      <c r="B27" s="66" t="s">
        <v>65</v>
      </c>
      <c r="C27" s="67" t="s">
        <v>52</v>
      </c>
      <c r="D27" s="68"/>
      <c r="E27" s="69"/>
      <c r="F27" s="70" t="s">
        <v>53</v>
      </c>
      <c r="G27" s="71" t="s">
        <v>54</v>
      </c>
    </row>
    <row r="28">
      <c r="B28" s="82">
        <v>3.0</v>
      </c>
      <c r="C28" s="73" t="s">
        <v>25</v>
      </c>
      <c r="D28" s="35"/>
      <c r="E28" s="36"/>
      <c r="F28" s="74" t="s">
        <v>59</v>
      </c>
      <c r="G28" s="75">
        <v>8.0</v>
      </c>
    </row>
    <row r="29">
      <c r="B29" s="83">
        <v>4.0</v>
      </c>
      <c r="C29" s="77" t="s">
        <v>26</v>
      </c>
      <c r="D29" s="42"/>
      <c r="E29" s="43"/>
      <c r="F29" s="78" t="s">
        <v>59</v>
      </c>
      <c r="G29" s="79">
        <v>8.0</v>
      </c>
      <c r="I29" s="80" t="s">
        <v>66</v>
      </c>
      <c r="J29" s="81">
        <f>SUM(G28:G37)</f>
        <v>71</v>
      </c>
    </row>
    <row r="30">
      <c r="B30" s="82">
        <v>5.0</v>
      </c>
      <c r="C30" s="73" t="s">
        <v>27</v>
      </c>
      <c r="D30" s="35"/>
      <c r="E30" s="36"/>
      <c r="F30" s="74" t="s">
        <v>59</v>
      </c>
      <c r="G30" s="75">
        <v>5.0</v>
      </c>
    </row>
    <row r="31">
      <c r="B31" s="83">
        <v>8.0</v>
      </c>
      <c r="C31" s="77" t="s">
        <v>30</v>
      </c>
      <c r="D31" s="42"/>
      <c r="E31" s="43"/>
      <c r="F31" s="78" t="s">
        <v>59</v>
      </c>
      <c r="G31" s="79">
        <v>8.0</v>
      </c>
    </row>
    <row r="32">
      <c r="B32" s="82">
        <v>11.0</v>
      </c>
      <c r="C32" s="73" t="s">
        <v>33</v>
      </c>
      <c r="D32" s="35"/>
      <c r="E32" s="36"/>
      <c r="F32" s="74" t="s">
        <v>59</v>
      </c>
      <c r="G32" s="75">
        <v>8.0</v>
      </c>
    </row>
    <row r="33">
      <c r="B33" s="83">
        <v>16.0</v>
      </c>
      <c r="C33" s="77" t="s">
        <v>38</v>
      </c>
      <c r="D33" s="42"/>
      <c r="E33" s="43"/>
      <c r="F33" s="78" t="s">
        <v>59</v>
      </c>
      <c r="G33" s="79">
        <v>8.0</v>
      </c>
    </row>
    <row r="34">
      <c r="B34" s="82">
        <v>17.0</v>
      </c>
      <c r="C34" s="73" t="s">
        <v>39</v>
      </c>
      <c r="D34" s="35"/>
      <c r="E34" s="36"/>
      <c r="F34" s="74" t="s">
        <v>59</v>
      </c>
      <c r="G34" s="75">
        <v>5.0</v>
      </c>
    </row>
    <row r="35">
      <c r="B35" s="83">
        <v>19.0</v>
      </c>
      <c r="C35" s="77" t="s">
        <v>41</v>
      </c>
      <c r="D35" s="42"/>
      <c r="E35" s="43"/>
      <c r="F35" s="78" t="s">
        <v>59</v>
      </c>
      <c r="G35" s="79">
        <v>8.0</v>
      </c>
    </row>
    <row r="36">
      <c r="B36" s="82">
        <v>20.0</v>
      </c>
      <c r="C36" s="73" t="s">
        <v>42</v>
      </c>
      <c r="D36" s="35"/>
      <c r="E36" s="36"/>
      <c r="F36" s="74" t="s">
        <v>59</v>
      </c>
      <c r="G36" s="75">
        <v>8.0</v>
      </c>
    </row>
    <row r="37">
      <c r="B37" s="83">
        <v>21.0</v>
      </c>
      <c r="C37" s="77" t="s">
        <v>43</v>
      </c>
      <c r="D37" s="42"/>
      <c r="E37" s="43"/>
      <c r="F37" s="78" t="s">
        <v>59</v>
      </c>
      <c r="G37" s="79">
        <v>5.0</v>
      </c>
    </row>
    <row r="40">
      <c r="B40" s="66" t="s">
        <v>65</v>
      </c>
      <c r="C40" s="67" t="s">
        <v>52</v>
      </c>
      <c r="D40" s="68"/>
      <c r="E40" s="69"/>
      <c r="F40" s="70" t="s">
        <v>53</v>
      </c>
      <c r="G40" s="71" t="s">
        <v>54</v>
      </c>
    </row>
    <row r="41">
      <c r="B41" s="82">
        <v>14.0</v>
      </c>
      <c r="C41" s="73" t="s">
        <v>36</v>
      </c>
      <c r="D41" s="35"/>
      <c r="E41" s="36"/>
      <c r="F41" s="74" t="s">
        <v>61</v>
      </c>
      <c r="G41" s="75">
        <v>13.0</v>
      </c>
      <c r="I41" s="80" t="s">
        <v>66</v>
      </c>
      <c r="J41" s="81">
        <f>G41</f>
        <v>13</v>
      </c>
    </row>
  </sheetData>
  <mergeCells count="33">
    <mergeCell ref="C2:E2"/>
    <mergeCell ref="C3:E3"/>
    <mergeCell ref="C4:E4"/>
    <mergeCell ref="C5:E5"/>
    <mergeCell ref="C6:E6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7:E27"/>
    <mergeCell ref="C35:E35"/>
    <mergeCell ref="C36:E36"/>
    <mergeCell ref="C37:E37"/>
    <mergeCell ref="C40:E40"/>
    <mergeCell ref="C41:E41"/>
    <mergeCell ref="C28:E28"/>
    <mergeCell ref="C29:E29"/>
    <mergeCell ref="C30:E30"/>
    <mergeCell ref="C31:E31"/>
    <mergeCell ref="C32:E32"/>
    <mergeCell ref="C33:E33"/>
    <mergeCell ref="C34:E34"/>
  </mergeCells>
  <dataValidations>
    <dataValidation type="list" allowBlank="1" showErrorMessage="1" sqref="F3:F6 F11:F24 F28:F37 F41">
      <formula1>"L,M,S,XS"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0.0"/>
    <col customWidth="1" min="6" max="6" width="34.38"/>
  </cols>
  <sheetData>
    <row r="3">
      <c r="B3" s="86" t="s">
        <v>67</v>
      </c>
      <c r="C3" s="87" t="s">
        <v>68</v>
      </c>
      <c r="D3" s="88" t="s">
        <v>69</v>
      </c>
      <c r="E3" s="88" t="s">
        <v>70</v>
      </c>
      <c r="F3" s="89" t="s">
        <v>71</v>
      </c>
      <c r="G3" s="90" t="s">
        <v>72</v>
      </c>
      <c r="H3" s="90" t="s">
        <v>73</v>
      </c>
      <c r="I3" s="90" t="s">
        <v>74</v>
      </c>
    </row>
    <row r="4">
      <c r="B4" s="91" t="s">
        <v>75</v>
      </c>
      <c r="C4" s="92" t="s">
        <v>76</v>
      </c>
      <c r="D4" s="93">
        <v>19.0</v>
      </c>
      <c r="E4" s="93">
        <f>D4</f>
        <v>19</v>
      </c>
      <c r="F4" s="94" t="s">
        <v>77</v>
      </c>
      <c r="G4" s="95">
        <v>45916.0</v>
      </c>
      <c r="H4" s="95">
        <v>45923.0</v>
      </c>
      <c r="I4" s="96">
        <f t="shared" ref="I4:I9" si="1">H4-G4</f>
        <v>7</v>
      </c>
    </row>
    <row r="5">
      <c r="B5" s="97" t="s">
        <v>78</v>
      </c>
      <c r="C5" s="92" t="s">
        <v>79</v>
      </c>
      <c r="D5" s="98">
        <v>22.0</v>
      </c>
      <c r="E5" s="99">
        <f t="shared" ref="E5:E9" si="2">E4+D5</f>
        <v>41</v>
      </c>
      <c r="F5" s="94" t="s">
        <v>80</v>
      </c>
      <c r="G5" s="95">
        <v>45924.0</v>
      </c>
      <c r="H5" s="95">
        <v>45930.0</v>
      </c>
      <c r="I5" s="96">
        <f t="shared" si="1"/>
        <v>6</v>
      </c>
    </row>
    <row r="6">
      <c r="B6" s="91" t="s">
        <v>81</v>
      </c>
      <c r="C6" s="92" t="s">
        <v>82</v>
      </c>
      <c r="D6" s="93">
        <v>26.0</v>
      </c>
      <c r="E6" s="99">
        <f t="shared" si="2"/>
        <v>67</v>
      </c>
      <c r="F6" s="94" t="s">
        <v>83</v>
      </c>
      <c r="G6" s="95">
        <v>45931.0</v>
      </c>
      <c r="H6" s="95">
        <v>45937.0</v>
      </c>
      <c r="I6" s="96">
        <f t="shared" si="1"/>
        <v>6</v>
      </c>
    </row>
    <row r="7">
      <c r="B7" s="97" t="s">
        <v>84</v>
      </c>
      <c r="C7" s="92" t="s">
        <v>85</v>
      </c>
      <c r="D7" s="98">
        <v>31.0</v>
      </c>
      <c r="E7" s="99">
        <f t="shared" si="2"/>
        <v>98</v>
      </c>
      <c r="F7" s="94" t="s">
        <v>86</v>
      </c>
      <c r="G7" s="95">
        <v>45938.0</v>
      </c>
      <c r="H7" s="95">
        <v>45948.0</v>
      </c>
      <c r="I7" s="96">
        <f t="shared" si="1"/>
        <v>10</v>
      </c>
    </row>
    <row r="8">
      <c r="B8" s="91" t="s">
        <v>87</v>
      </c>
      <c r="C8" s="92" t="s">
        <v>88</v>
      </c>
      <c r="D8" s="93">
        <v>31.0</v>
      </c>
      <c r="E8" s="99">
        <f t="shared" si="2"/>
        <v>129</v>
      </c>
      <c r="F8" s="94" t="s">
        <v>89</v>
      </c>
      <c r="G8" s="95">
        <v>45949.0</v>
      </c>
      <c r="H8" s="95">
        <v>45959.0</v>
      </c>
      <c r="I8" s="96">
        <f t="shared" si="1"/>
        <v>10</v>
      </c>
    </row>
    <row r="9">
      <c r="B9" s="97" t="s">
        <v>90</v>
      </c>
      <c r="C9" s="92" t="s">
        <v>91</v>
      </c>
      <c r="D9" s="98">
        <v>33.0</v>
      </c>
      <c r="E9" s="99">
        <f t="shared" si="2"/>
        <v>162</v>
      </c>
      <c r="F9" s="94" t="s">
        <v>92</v>
      </c>
      <c r="G9" s="95">
        <v>45960.0</v>
      </c>
      <c r="H9" s="95">
        <v>45974.0</v>
      </c>
      <c r="I9" s="96">
        <f t="shared" si="1"/>
        <v>14</v>
      </c>
    </row>
  </sheetData>
  <dataValidations>
    <dataValidation type="custom" allowBlank="1" showDropDown="1" sqref="D4:E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