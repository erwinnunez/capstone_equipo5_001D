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756\Downloads\"/>
    </mc:Choice>
  </mc:AlternateContent>
  <xr:revisionPtr revIDLastSave="0" documentId="13_ncr:1_{A61EFCB5-A0EC-4FC0-81A9-00176A86B05F}" xr6:coauthVersionLast="47" xr6:coauthVersionMax="47" xr10:uidLastSave="{00000000-0000-0000-0000-000000000000}"/>
  <bookViews>
    <workbookView xWindow="-120" yWindow="-120" windowWidth="29040" windowHeight="15720" activeTab="1" xr2:uid="{3AD80375-79C7-447A-BE15-1954A6334E19}"/>
  </bookViews>
  <sheets>
    <sheet name="Estimacion" sheetId="1" r:id="rId1"/>
    <sheet name="Cos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K7" i="1"/>
  <c r="J7" i="1"/>
  <c r="E43" i="1"/>
  <c r="D59" i="1"/>
  <c r="H31" i="1"/>
  <c r="H22" i="1"/>
  <c r="D8" i="1"/>
  <c r="D22" i="1"/>
  <c r="H59" i="1"/>
  <c r="H50" i="1"/>
  <c r="H43" i="1"/>
  <c r="H36" i="1"/>
  <c r="E22" i="1"/>
  <c r="C22" i="1"/>
  <c r="E31" i="1"/>
  <c r="E59" i="1"/>
  <c r="G59" i="1"/>
  <c r="H58" i="1"/>
  <c r="H42" i="1"/>
  <c r="I4" i="2"/>
  <c r="H18" i="1"/>
  <c r="H19" i="1"/>
  <c r="H20" i="1"/>
  <c r="H21" i="1"/>
  <c r="H17" i="1"/>
  <c r="H27" i="1"/>
  <c r="C59" i="1"/>
  <c r="F59" i="1"/>
  <c r="B59" i="1"/>
  <c r="C50" i="1"/>
  <c r="D50" i="1"/>
  <c r="E50" i="1"/>
  <c r="F50" i="1"/>
  <c r="G50" i="1"/>
  <c r="B50" i="1"/>
  <c r="C43" i="1"/>
  <c r="D43" i="1"/>
  <c r="F43" i="1"/>
  <c r="G43" i="1"/>
  <c r="B43" i="1"/>
  <c r="C36" i="1"/>
  <c r="D36" i="1"/>
  <c r="E36" i="1"/>
  <c r="F36" i="1"/>
  <c r="G36" i="1"/>
  <c r="B36" i="1"/>
  <c r="C31" i="1"/>
  <c r="D31" i="1"/>
  <c r="F31" i="1"/>
  <c r="G31" i="1"/>
  <c r="B31" i="1"/>
  <c r="F22" i="1"/>
  <c r="G22" i="1"/>
  <c r="B22" i="1"/>
  <c r="C8" i="1"/>
  <c r="E8" i="1"/>
  <c r="F8" i="1"/>
  <c r="G8" i="1"/>
  <c r="B8" i="1"/>
  <c r="H11" i="1"/>
  <c r="H12" i="1"/>
  <c r="H13" i="1"/>
  <c r="H14" i="1"/>
  <c r="H15" i="1"/>
  <c r="H16" i="1"/>
  <c r="H24" i="1"/>
  <c r="H25" i="1"/>
  <c r="H26" i="1"/>
  <c r="H28" i="1"/>
  <c r="H29" i="1"/>
  <c r="H30" i="1"/>
  <c r="H33" i="1"/>
  <c r="H34" i="1"/>
  <c r="H35" i="1"/>
  <c r="H38" i="1"/>
  <c r="H39" i="1"/>
  <c r="H40" i="1"/>
  <c r="H41" i="1"/>
  <c r="H45" i="1"/>
  <c r="H46" i="1"/>
  <c r="H47" i="1"/>
  <c r="H48" i="1"/>
  <c r="H49" i="1"/>
  <c r="H52" i="1"/>
  <c r="H53" i="1"/>
  <c r="H54" i="1"/>
  <c r="H55" i="1"/>
  <c r="H56" i="1"/>
  <c r="H57" i="1"/>
  <c r="H4" i="1"/>
  <c r="H5" i="1"/>
  <c r="H6" i="1"/>
  <c r="H7" i="1"/>
  <c r="H10" i="1"/>
  <c r="H3" i="1"/>
  <c r="H8" i="1" l="1"/>
  <c r="R7" i="1" l="1"/>
  <c r="C7" i="2" s="1"/>
  <c r="M7" i="1" l="1"/>
  <c r="K14" i="1" s="1"/>
  <c r="E7" i="2"/>
  <c r="D7" i="2"/>
  <c r="L7" i="1"/>
  <c r="K13" i="1" s="1"/>
  <c r="M13" i="1" s="1"/>
  <c r="K12" i="1"/>
  <c r="M14" i="1" l="1"/>
  <c r="L14" i="1"/>
  <c r="L12" i="1"/>
  <c r="D4" i="2" s="1"/>
  <c r="M12" i="1"/>
  <c r="E4" i="2" s="1"/>
  <c r="C5" i="2"/>
  <c r="L13" i="1"/>
  <c r="D5" i="2" s="1"/>
  <c r="E5" i="2"/>
  <c r="C6" i="2"/>
  <c r="E6" i="2" l="1"/>
  <c r="D6" i="2"/>
</calcChain>
</file>

<file path=xl/sharedStrings.xml><?xml version="1.0" encoding="utf-8"?>
<sst xmlns="http://schemas.openxmlformats.org/spreadsheetml/2006/main" count="137" uniqueCount="74">
  <si>
    <t>Simple</t>
  </si>
  <si>
    <t>Muy facil</t>
  </si>
  <si>
    <t>Facil</t>
  </si>
  <si>
    <t>Normal</t>
  </si>
  <si>
    <t>Dificil</t>
  </si>
  <si>
    <t>Muy dificil</t>
  </si>
  <si>
    <t>Horas</t>
  </si>
  <si>
    <t>Estimacion por tipo de esfuerzo</t>
  </si>
  <si>
    <t>Total esfuerzo</t>
  </si>
  <si>
    <t>Dias</t>
  </si>
  <si>
    <t>Semanas</t>
  </si>
  <si>
    <t>Meses</t>
  </si>
  <si>
    <t>Agenda &amp; Recursos</t>
  </si>
  <si>
    <t>Configuración de la BD</t>
  </si>
  <si>
    <t>Preparación de entorno Backend</t>
  </si>
  <si>
    <t>Preparación de entorno Frontend</t>
  </si>
  <si>
    <t>Creación de clases (Entidades BD)</t>
  </si>
  <si>
    <t>Creación de comunicados</t>
  </si>
  <si>
    <t>Enrutamiento (React Router)</t>
  </si>
  <si>
    <t>Creación de contenedor para BD (Docker)</t>
  </si>
  <si>
    <t>Planificación</t>
  </si>
  <si>
    <t xml:space="preserve">Propuesta de solución </t>
  </si>
  <si>
    <t>Diagramas</t>
  </si>
  <si>
    <t>Reuniones</t>
  </si>
  <si>
    <t>Recurso 1</t>
  </si>
  <si>
    <t>Recurso 2</t>
  </si>
  <si>
    <t>Recurso 3</t>
  </si>
  <si>
    <t>Costos del proyecto</t>
  </si>
  <si>
    <t>Tiempo/Recurso</t>
  </si>
  <si>
    <t>Total</t>
  </si>
  <si>
    <t>Costo por hora</t>
  </si>
  <si>
    <t>Sueldo bruto</t>
  </si>
  <si>
    <t>Total Esfuerzo</t>
  </si>
  <si>
    <t>Planificación de Sprints</t>
  </si>
  <si>
    <t>Historias de usuarios</t>
  </si>
  <si>
    <t>Sprint 1</t>
  </si>
  <si>
    <t>Configurar roles y permisos en backend (RBAC básico)</t>
  </si>
  <si>
    <t>Aplicar validaciones de rango y formato en mediciones</t>
  </si>
  <si>
    <t>Diseñar interfaz base para ingreso y visualización de mediciones</t>
  </si>
  <si>
    <t>Implementar sistema de login y registro de usuarios</t>
  </si>
  <si>
    <t>Ajustes visuales y pruebas de integración con API</t>
  </si>
  <si>
    <t>Sprint 2</t>
  </si>
  <si>
    <t>Crear endpoints REST para configuración de rangos personalizados.</t>
  </si>
  <si>
    <t>Diseñar interfaz en frontend para que el médico visualice y edite rangos</t>
  </si>
  <si>
    <t>Integrar comparación automática de mediciones con rangos configurados.</t>
  </si>
  <si>
    <t>Agregar control de versión automática al modificar un rango de paciente</t>
  </si>
  <si>
    <t>Registrar cada cambio de rango en el historial</t>
  </si>
  <si>
    <t>Implementar lógica de generación automática de alerta</t>
  </si>
  <si>
    <t>Notificación visual de la alerta en frontend médico</t>
  </si>
  <si>
    <t>Sprint 3</t>
  </si>
  <si>
    <t>Estimacion de esfuerzo por sprints</t>
  </si>
  <si>
    <t>Diseñar e implementar el dashboard de priorización de pacientes por nivel de riesgo, incluyendo la lógica de cálculo y ordenamiento.</t>
  </si>
  <si>
    <t>Implementar filtros por fecha, paciente y severidad de alerta en el dashboard, permitiendo el análisis detallado de casos específicos.</t>
  </si>
  <si>
    <t>Desarrollar las gráficas de tendencia de las mediciones de cada paciente en los últimos 30 días e integrarlas a la vista clínica.</t>
  </si>
  <si>
    <t>Sprint 4</t>
  </si>
  <si>
    <t>Implementar la notificación al cuidador cuando el paciente presente una alerta fuera de rango, considerando su vínculo con el paciente.</t>
  </si>
  <si>
    <t>Desarrollar la configuración de preferencias de alertas del cuidador (tipos de alertas que desea recibir) e incorporarlas en el flujo.</t>
  </si>
  <si>
    <t>Implementar el envío de notificaciones vía correo electrónico para las alertas generadas por el sistema, incluyendo registro básico de envíos.</t>
  </si>
  <si>
    <t>Desarrollar la exportación a Excel de todas las mediciones de un paciente, con opción de descarga desde la interfaz del médico.</t>
  </si>
  <si>
    <t>Crear el reporte en EXCEL con las últimas mediciones de un paciente y habilitar su descarga desde el panel del médico.</t>
  </si>
  <si>
    <t>Desarrollar el módulo de auditoría que permita consultar el historial de acciones con filtros por usuario, tipo de acción y rango de fechas desde frontend y backend.</t>
  </si>
  <si>
    <t>Implementar el registro de acciones críticas en un log (login, creación, actualización y eliminación de datos clínicos), almacenando usuario, acción, fecha y detalle.</t>
  </si>
  <si>
    <t>Implementar la lógica de agrupación de alertas para consolidar múltiples anormalidades de un mismo paciente en un periodo corto en una sola alerta agrupada.</t>
  </si>
  <si>
    <t>Desarrollar la funcionalidad que permita marcar una alerta como revisada o atendida, registrando su estado y la fecha/hora de actualización.</t>
  </si>
  <si>
    <t>Registrar en la auditoría cada exportación de reportes (Excel), incluyendo usuario, tipo de reporte, paciente asociado y fecha/hora de la acción.</t>
  </si>
  <si>
    <t>Sprint 5</t>
  </si>
  <si>
    <t>Sprint 6</t>
  </si>
  <si>
    <t>Implementar el flujo para que el cuidador pueda registrar parámetros en nombre del paciente, registrando la relación cuidador–paciente y quién realiza la acción.</t>
  </si>
  <si>
    <t>Desarrollar la validación de permisos que verifique que el cuidador está autorizado sobre el paciente antes de permitir el registro o modificación de mediciones.</t>
  </si>
  <si>
    <t>Implementar en frontend la selección del paciente desde una lista de pacientes autorizados para el cuidador, evitando registros en pacientes no relacionados.</t>
  </si>
  <si>
    <t>Incorporar el sistema de puntos que sume recompensas al paciente cada vez que registra sus parámetros, almacenando el puntaje acumulado.</t>
  </si>
  <si>
    <t>Implementar la lógica de asignación de insignias al cumplir metas semanales de registro (frecuencia y consistencia), guardando las insignias obtenidas.</t>
  </si>
  <si>
    <t>Diseñar y desarrollar el panel de logros donde el paciente pueda visualizar sus puntos, insignias y progreso general de adherencia.</t>
  </si>
  <si>
    <t>Implementar el mecanismo de recordatorios que detecte ausencia de registros por más de 24 horas y envíe notificaciones para fomentar la adherencia.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</si>
</sst>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.00_ ;_ [$$-340A]* \-#,##0.00_ ;_ [$$-340A]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3" borderId="1" xfId="0" applyNumberFormat="1" applyFill="1" applyBorder="1"/>
    <xf numFmtId="1" fontId="0" fillId="0" borderId="0" xfId="0" applyNumberFormat="1"/>
    <xf numFmtId="164" fontId="0" fillId="4" borderId="1" xfId="0" applyNumberFormat="1" applyFill="1" applyBorder="1"/>
    <xf numFmtId="0" fontId="0" fillId="3" borderId="1" xfId="0" applyFill="1" applyBorder="1" applyAlignment="1">
      <alignment wrapText="1"/>
    </xf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491D-DCE4-4095-AD6E-A447F562CAFC}">
  <dimension ref="A1:R59"/>
  <sheetViews>
    <sheetView workbookViewId="0">
      <selection activeCell="J21" sqref="J21"/>
    </sheetView>
  </sheetViews>
  <sheetFormatPr baseColWidth="10" defaultRowHeight="15" x14ac:dyDescent="0.25"/>
  <cols>
    <col min="1" max="1" width="68.5703125" style="15" bestFit="1" customWidth="1"/>
    <col min="10" max="10" width="29" bestFit="1" customWidth="1"/>
    <col min="12" max="12" width="11.7109375" bestFit="1" customWidth="1"/>
    <col min="18" max="18" width="0" hidden="1" customWidth="1"/>
  </cols>
  <sheetData>
    <row r="1" spans="1:18" x14ac:dyDescent="0.25">
      <c r="A1" s="13" t="s">
        <v>50</v>
      </c>
      <c r="J1" s="6" t="s">
        <v>7</v>
      </c>
    </row>
    <row r="2" spans="1:18" x14ac:dyDescent="0.25">
      <c r="A2" s="14" t="s">
        <v>20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J2" s="4"/>
      <c r="K2" s="4" t="s">
        <v>0</v>
      </c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</row>
    <row r="3" spans="1:18" x14ac:dyDescent="0.25">
      <c r="A3" s="12" t="s">
        <v>34</v>
      </c>
      <c r="B3" s="3"/>
      <c r="C3" s="3"/>
      <c r="D3" s="3">
        <v>1</v>
      </c>
      <c r="E3" s="3"/>
      <c r="F3" s="3"/>
      <c r="G3" s="3"/>
      <c r="H3" s="3">
        <f>(B3*$K$3)+(C3*$L$3)+(D3*$M$3)+(E3*$N$3)+(F3*$O$3)+(G3*$P$3)</f>
        <v>16</v>
      </c>
      <c r="J3" s="7" t="s">
        <v>6</v>
      </c>
      <c r="K3" s="7">
        <v>4</v>
      </c>
      <c r="L3" s="7">
        <v>8</v>
      </c>
      <c r="M3" s="7">
        <v>16</v>
      </c>
      <c r="N3" s="7">
        <v>24</v>
      </c>
      <c r="O3" s="7">
        <v>32</v>
      </c>
      <c r="P3" s="7">
        <v>48</v>
      </c>
    </row>
    <row r="4" spans="1:18" x14ac:dyDescent="0.25">
      <c r="A4" s="12" t="s">
        <v>21</v>
      </c>
      <c r="B4" s="3"/>
      <c r="C4" s="3"/>
      <c r="D4" s="3">
        <v>1</v>
      </c>
      <c r="E4" s="3"/>
      <c r="F4" s="3"/>
      <c r="G4" s="3"/>
      <c r="H4" s="3">
        <f t="shared" ref="H4:H58" si="0">(B4*$K$3)+(C4*$L$3)+(D4*$M$3)+(E4*$N$3)+(F4*$O$3)+(G4*$P$3)</f>
        <v>16</v>
      </c>
    </row>
    <row r="5" spans="1:18" x14ac:dyDescent="0.25">
      <c r="A5" s="12" t="s">
        <v>22</v>
      </c>
      <c r="B5" s="3"/>
      <c r="C5" s="3"/>
      <c r="D5" s="3"/>
      <c r="E5" s="3"/>
      <c r="F5" s="3">
        <v>1</v>
      </c>
      <c r="G5" s="3"/>
      <c r="H5" s="3">
        <f t="shared" si="0"/>
        <v>32</v>
      </c>
      <c r="J5" s="6" t="s">
        <v>8</v>
      </c>
    </row>
    <row r="6" spans="1:18" x14ac:dyDescent="0.25">
      <c r="A6" s="12" t="s">
        <v>33</v>
      </c>
      <c r="B6" s="3"/>
      <c r="C6" s="3"/>
      <c r="D6" s="3">
        <v>1</v>
      </c>
      <c r="E6" s="3"/>
      <c r="F6" s="3"/>
      <c r="G6" s="3"/>
      <c r="H6" s="3">
        <f t="shared" si="0"/>
        <v>16</v>
      </c>
      <c r="J6" s="1" t="s">
        <v>6</v>
      </c>
      <c r="K6" s="1" t="s">
        <v>9</v>
      </c>
      <c r="L6" s="1" t="s">
        <v>10</v>
      </c>
      <c r="M6" s="1" t="s">
        <v>11</v>
      </c>
    </row>
    <row r="7" spans="1:18" x14ac:dyDescent="0.25">
      <c r="A7" s="12" t="s">
        <v>23</v>
      </c>
      <c r="B7" s="3"/>
      <c r="C7" s="3"/>
      <c r="D7" s="3"/>
      <c r="E7" s="3"/>
      <c r="F7" s="3"/>
      <c r="G7" s="3">
        <v>1</v>
      </c>
      <c r="H7" s="3">
        <f t="shared" si="0"/>
        <v>48</v>
      </c>
      <c r="J7" s="3">
        <f>SUM(H3:H7,H10:H21,H24:H30,H33:H35,H38:H43,H45:H49,H52:H58,)</f>
        <v>952</v>
      </c>
      <c r="K7" s="8">
        <f>J7/8</f>
        <v>119</v>
      </c>
      <c r="L7" s="8">
        <f>ROUND(J7/45,0)</f>
        <v>21</v>
      </c>
      <c r="M7" s="8">
        <f>ROUND(J7/180,0)</f>
        <v>5</v>
      </c>
      <c r="R7">
        <f>J7</f>
        <v>952</v>
      </c>
    </row>
    <row r="8" spans="1:18" x14ac:dyDescent="0.25">
      <c r="A8" s="12" t="s">
        <v>32</v>
      </c>
      <c r="B8" s="2">
        <f t="shared" ref="B8:H8" si="1">SUM(B3:B7)</f>
        <v>0</v>
      </c>
      <c r="C8" s="2">
        <f t="shared" si="1"/>
        <v>0</v>
      </c>
      <c r="D8" s="2">
        <f>SUM(D3:D7)</f>
        <v>3</v>
      </c>
      <c r="E8" s="2">
        <f t="shared" si="1"/>
        <v>0</v>
      </c>
      <c r="F8" s="2">
        <f t="shared" si="1"/>
        <v>1</v>
      </c>
      <c r="G8" s="2">
        <f t="shared" si="1"/>
        <v>1</v>
      </c>
      <c r="H8" s="2">
        <f t="shared" si="1"/>
        <v>128</v>
      </c>
      <c r="L8" s="10"/>
      <c r="M8" s="10"/>
    </row>
    <row r="9" spans="1:18" s="5" customFormat="1" x14ac:dyDescent="0.25">
      <c r="A9" s="14" t="s">
        <v>35</v>
      </c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J9"/>
      <c r="K9"/>
      <c r="L9"/>
      <c r="M9"/>
      <c r="N9"/>
      <c r="O9"/>
      <c r="P9"/>
    </row>
    <row r="10" spans="1:18" x14ac:dyDescent="0.25">
      <c r="A10" s="12" t="s">
        <v>13</v>
      </c>
      <c r="B10" s="3"/>
      <c r="C10" s="3">
        <v>1</v>
      </c>
      <c r="D10" s="3"/>
      <c r="E10" s="3"/>
      <c r="F10" s="3"/>
      <c r="G10" s="3"/>
      <c r="H10" s="3">
        <f t="shared" si="0"/>
        <v>8</v>
      </c>
      <c r="J10" s="6" t="s">
        <v>12</v>
      </c>
    </row>
    <row r="11" spans="1:18" x14ac:dyDescent="0.25">
      <c r="A11" s="12" t="s">
        <v>14</v>
      </c>
      <c r="B11" s="3"/>
      <c r="C11" s="3">
        <v>1</v>
      </c>
      <c r="D11" s="3"/>
      <c r="E11" s="3"/>
      <c r="F11" s="3"/>
      <c r="G11" s="3"/>
      <c r="H11" s="3">
        <f t="shared" si="0"/>
        <v>8</v>
      </c>
      <c r="J11" s="1" t="s">
        <v>6</v>
      </c>
      <c r="K11" s="1" t="s">
        <v>24</v>
      </c>
      <c r="L11" s="1" t="s">
        <v>25</v>
      </c>
      <c r="M11" s="1" t="s">
        <v>26</v>
      </c>
    </row>
    <row r="12" spans="1:18" x14ac:dyDescent="0.25">
      <c r="A12" s="12" t="s">
        <v>15</v>
      </c>
      <c r="B12" s="3"/>
      <c r="C12" s="3">
        <v>1</v>
      </c>
      <c r="D12" s="3"/>
      <c r="E12" s="3"/>
      <c r="F12" s="3"/>
      <c r="G12" s="3"/>
      <c r="H12" s="3">
        <f t="shared" si="0"/>
        <v>8</v>
      </c>
      <c r="J12" s="3" t="s">
        <v>9</v>
      </c>
      <c r="K12" s="3">
        <f>J7/8</f>
        <v>119</v>
      </c>
      <c r="L12" s="3">
        <f>ROUND(K12/2,0)</f>
        <v>60</v>
      </c>
      <c r="M12" s="3">
        <f>ROUND(K12/3,0)</f>
        <v>40</v>
      </c>
    </row>
    <row r="13" spans="1:18" x14ac:dyDescent="0.25">
      <c r="A13" s="12" t="s">
        <v>19</v>
      </c>
      <c r="B13" s="3"/>
      <c r="C13" s="3"/>
      <c r="D13" s="3">
        <v>1</v>
      </c>
      <c r="E13" s="3"/>
      <c r="F13" s="3"/>
      <c r="G13" s="3"/>
      <c r="H13" s="3">
        <f t="shared" si="0"/>
        <v>16</v>
      </c>
      <c r="J13" s="3" t="s">
        <v>10</v>
      </c>
      <c r="K13" s="8">
        <f>L7</f>
        <v>21</v>
      </c>
      <c r="L13" s="3">
        <f t="shared" ref="L13:L14" si="2">ROUND(K13/2,0)</f>
        <v>11</v>
      </c>
      <c r="M13" s="3">
        <f>ROUND(K13/3,0)</f>
        <v>7</v>
      </c>
    </row>
    <row r="14" spans="1:18" x14ac:dyDescent="0.25">
      <c r="A14" s="12" t="s">
        <v>16</v>
      </c>
      <c r="B14" s="3"/>
      <c r="C14" s="3"/>
      <c r="D14" s="3"/>
      <c r="E14" s="3">
        <v>1</v>
      </c>
      <c r="F14" s="3"/>
      <c r="G14" s="3"/>
      <c r="H14" s="3">
        <f t="shared" si="0"/>
        <v>24</v>
      </c>
      <c r="J14" s="3" t="s">
        <v>11</v>
      </c>
      <c r="K14" s="8">
        <f>M7</f>
        <v>5</v>
      </c>
      <c r="L14" s="3">
        <f t="shared" si="2"/>
        <v>3</v>
      </c>
      <c r="M14" s="3">
        <f>ROUND(K14/4,0)</f>
        <v>1</v>
      </c>
    </row>
    <row r="15" spans="1:18" x14ac:dyDescent="0.25">
      <c r="A15" s="12" t="s">
        <v>18</v>
      </c>
      <c r="B15" s="3"/>
      <c r="C15" s="3">
        <v>1</v>
      </c>
      <c r="D15" s="3"/>
      <c r="E15" s="3"/>
      <c r="F15" s="3"/>
      <c r="G15" s="3"/>
      <c r="H15" s="3">
        <f t="shared" si="0"/>
        <v>8</v>
      </c>
    </row>
    <row r="16" spans="1:18" x14ac:dyDescent="0.25">
      <c r="A16" s="12" t="s">
        <v>17</v>
      </c>
      <c r="B16" s="3"/>
      <c r="C16" s="3"/>
      <c r="D16" s="3"/>
      <c r="E16" s="3">
        <v>1</v>
      </c>
      <c r="F16" s="3"/>
      <c r="G16" s="3"/>
      <c r="H16" s="3">
        <f t="shared" si="0"/>
        <v>24</v>
      </c>
    </row>
    <row r="17" spans="1:8" x14ac:dyDescent="0.25">
      <c r="A17" s="12" t="s">
        <v>36</v>
      </c>
      <c r="B17" s="3"/>
      <c r="C17" s="3"/>
      <c r="D17" s="3">
        <v>1</v>
      </c>
      <c r="E17" s="3"/>
      <c r="F17" s="3"/>
      <c r="G17" s="3"/>
      <c r="H17" s="3">
        <f t="shared" si="0"/>
        <v>16</v>
      </c>
    </row>
    <row r="18" spans="1:8" x14ac:dyDescent="0.25">
      <c r="A18" s="12" t="s">
        <v>37</v>
      </c>
      <c r="B18" s="3"/>
      <c r="C18" s="3"/>
      <c r="D18" s="3">
        <v>1</v>
      </c>
      <c r="E18" s="3"/>
      <c r="F18" s="3"/>
      <c r="G18" s="3"/>
      <c r="H18" s="3">
        <f t="shared" si="0"/>
        <v>16</v>
      </c>
    </row>
    <row r="19" spans="1:8" x14ac:dyDescent="0.25">
      <c r="A19" s="12" t="s">
        <v>38</v>
      </c>
      <c r="B19" s="3"/>
      <c r="C19" s="3"/>
      <c r="D19" s="3"/>
      <c r="E19" s="3">
        <v>1</v>
      </c>
      <c r="F19" s="3"/>
      <c r="G19" s="3"/>
      <c r="H19" s="3">
        <f t="shared" si="0"/>
        <v>24</v>
      </c>
    </row>
    <row r="20" spans="1:8" x14ac:dyDescent="0.25">
      <c r="A20" s="12" t="s">
        <v>39</v>
      </c>
      <c r="B20" s="3"/>
      <c r="C20" s="3"/>
      <c r="D20" s="3"/>
      <c r="E20" s="3">
        <v>1</v>
      </c>
      <c r="F20" s="3"/>
      <c r="G20" s="3"/>
      <c r="H20" s="3">
        <f t="shared" si="0"/>
        <v>24</v>
      </c>
    </row>
    <row r="21" spans="1:8" x14ac:dyDescent="0.25">
      <c r="A21" s="12" t="s">
        <v>40</v>
      </c>
      <c r="B21" s="3"/>
      <c r="C21" s="3"/>
      <c r="D21" s="3">
        <v>1</v>
      </c>
      <c r="E21" s="3"/>
      <c r="F21" s="3"/>
      <c r="G21" s="3"/>
      <c r="H21" s="3">
        <f t="shared" si="0"/>
        <v>16</v>
      </c>
    </row>
    <row r="22" spans="1:8" x14ac:dyDescent="0.25">
      <c r="A22" s="12" t="s">
        <v>32</v>
      </c>
      <c r="B22" s="2">
        <f>SUM(B10:B16)</f>
        <v>0</v>
      </c>
      <c r="C22" s="2">
        <f>SUM(C10:C17)</f>
        <v>4</v>
      </c>
      <c r="D22" s="2">
        <f>SUM(D10:D21)</f>
        <v>4</v>
      </c>
      <c r="E22" s="2">
        <f>SUM(E10:E21)</f>
        <v>4</v>
      </c>
      <c r="F22" s="2">
        <f>SUM(F10:F16)</f>
        <v>0</v>
      </c>
      <c r="G22" s="2">
        <f>SUM(G10:G16)</f>
        <v>0</v>
      </c>
      <c r="H22" s="2">
        <f>SUM(H10:H21)</f>
        <v>192</v>
      </c>
    </row>
    <row r="23" spans="1:8" x14ac:dyDescent="0.25">
      <c r="A23" s="14" t="s">
        <v>41</v>
      </c>
      <c r="B23" s="4" t="s">
        <v>0</v>
      </c>
      <c r="C23" s="4" t="s">
        <v>1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6</v>
      </c>
    </row>
    <row r="24" spans="1:8" x14ac:dyDescent="0.25">
      <c r="A24" s="12" t="s">
        <v>42</v>
      </c>
      <c r="B24" s="3"/>
      <c r="C24" s="3">
        <v>1</v>
      </c>
      <c r="D24" s="3"/>
      <c r="E24" s="3"/>
      <c r="F24" s="3"/>
      <c r="G24" s="3"/>
      <c r="H24" s="3">
        <f t="shared" si="0"/>
        <v>8</v>
      </c>
    </row>
    <row r="25" spans="1:8" x14ac:dyDescent="0.25">
      <c r="A25" s="12" t="s">
        <v>43</v>
      </c>
      <c r="B25" s="3"/>
      <c r="C25" s="3"/>
      <c r="D25" s="3">
        <v>1</v>
      </c>
      <c r="E25" s="3"/>
      <c r="F25" s="3"/>
      <c r="G25" s="3"/>
      <c r="H25" s="3">
        <f t="shared" si="0"/>
        <v>16</v>
      </c>
    </row>
    <row r="26" spans="1:8" x14ac:dyDescent="0.25">
      <c r="A26" s="12" t="s">
        <v>44</v>
      </c>
      <c r="B26" s="3"/>
      <c r="C26" s="3"/>
      <c r="D26" s="3"/>
      <c r="E26" s="3">
        <v>1</v>
      </c>
      <c r="F26" s="3"/>
      <c r="G26" s="3"/>
      <c r="H26" s="3">
        <f t="shared" si="0"/>
        <v>24</v>
      </c>
    </row>
    <row r="27" spans="1:8" x14ac:dyDescent="0.25">
      <c r="A27" s="12" t="s">
        <v>45</v>
      </c>
      <c r="B27" s="3"/>
      <c r="C27" s="3"/>
      <c r="D27" s="3"/>
      <c r="E27" s="3">
        <v>1</v>
      </c>
      <c r="F27" s="3"/>
      <c r="G27" s="3"/>
      <c r="H27" s="3">
        <f>(B27*$K$3)+(C27*$L$3)+(D27*$M$3)+(E27*$N$3)+(F27*$O$3)+(G27*$P$3)</f>
        <v>24</v>
      </c>
    </row>
    <row r="28" spans="1:8" x14ac:dyDescent="0.25">
      <c r="A28" s="12" t="s">
        <v>46</v>
      </c>
      <c r="B28" s="3"/>
      <c r="C28" s="3"/>
      <c r="D28" s="3">
        <v>1</v>
      </c>
      <c r="E28" s="3"/>
      <c r="F28" s="3"/>
      <c r="G28" s="3"/>
      <c r="H28" s="3">
        <f t="shared" si="0"/>
        <v>16</v>
      </c>
    </row>
    <row r="29" spans="1:8" x14ac:dyDescent="0.25">
      <c r="A29" s="12" t="s">
        <v>47</v>
      </c>
      <c r="B29" s="3"/>
      <c r="C29" s="3"/>
      <c r="D29" s="3"/>
      <c r="E29" s="3">
        <v>1</v>
      </c>
      <c r="F29" s="3"/>
      <c r="G29" s="3"/>
      <c r="H29" s="3">
        <f t="shared" si="0"/>
        <v>24</v>
      </c>
    </row>
    <row r="30" spans="1:8" x14ac:dyDescent="0.25">
      <c r="A30" s="12" t="s">
        <v>48</v>
      </c>
      <c r="B30" s="3"/>
      <c r="C30" s="3"/>
      <c r="D30" s="3">
        <v>1</v>
      </c>
      <c r="E30" s="3"/>
      <c r="F30" s="3"/>
      <c r="G30" s="3"/>
      <c r="H30" s="3">
        <f t="shared" si="0"/>
        <v>16</v>
      </c>
    </row>
    <row r="31" spans="1:8" x14ac:dyDescent="0.25">
      <c r="A31" s="12" t="s">
        <v>32</v>
      </c>
      <c r="B31" s="2">
        <f t="shared" ref="B31:H31" si="3">SUM(B24:B30)</f>
        <v>0</v>
      </c>
      <c r="C31" s="2">
        <f t="shared" si="3"/>
        <v>1</v>
      </c>
      <c r="D31" s="2">
        <f t="shared" si="3"/>
        <v>3</v>
      </c>
      <c r="E31" s="2">
        <f t="shared" si="3"/>
        <v>3</v>
      </c>
      <c r="F31" s="2">
        <f t="shared" si="3"/>
        <v>0</v>
      </c>
      <c r="G31" s="2">
        <f t="shared" si="3"/>
        <v>0</v>
      </c>
      <c r="H31" s="2">
        <f t="shared" si="3"/>
        <v>128</v>
      </c>
    </row>
    <row r="32" spans="1:8" x14ac:dyDescent="0.25">
      <c r="A32" s="14" t="s">
        <v>49</v>
      </c>
      <c r="B32" s="4" t="s">
        <v>0</v>
      </c>
      <c r="C32" s="4" t="s">
        <v>1</v>
      </c>
      <c r="D32" s="4" t="s">
        <v>2</v>
      </c>
      <c r="E32" s="4" t="s">
        <v>3</v>
      </c>
      <c r="F32" s="4" t="s">
        <v>4</v>
      </c>
      <c r="G32" s="4" t="s">
        <v>5</v>
      </c>
      <c r="H32" s="4" t="s">
        <v>6</v>
      </c>
    </row>
    <row r="33" spans="1:8" ht="30" x14ac:dyDescent="0.25">
      <c r="A33" s="12" t="s">
        <v>51</v>
      </c>
      <c r="B33" s="3"/>
      <c r="C33" s="3"/>
      <c r="D33" s="3"/>
      <c r="E33" s="3"/>
      <c r="F33" s="3">
        <v>1</v>
      </c>
      <c r="G33" s="3"/>
      <c r="H33" s="3">
        <f t="shared" si="0"/>
        <v>32</v>
      </c>
    </row>
    <row r="34" spans="1:8" ht="30" x14ac:dyDescent="0.25">
      <c r="A34" s="12" t="s">
        <v>52</v>
      </c>
      <c r="B34" s="3"/>
      <c r="C34" s="3"/>
      <c r="D34" s="3"/>
      <c r="E34" s="3">
        <v>1</v>
      </c>
      <c r="F34" s="3"/>
      <c r="G34" s="3"/>
      <c r="H34" s="3">
        <f t="shared" si="0"/>
        <v>24</v>
      </c>
    </row>
    <row r="35" spans="1:8" ht="30" x14ac:dyDescent="0.25">
      <c r="A35" s="12" t="s">
        <v>53</v>
      </c>
      <c r="B35" s="3"/>
      <c r="C35" s="3"/>
      <c r="D35" s="3"/>
      <c r="E35" s="3"/>
      <c r="F35" s="3">
        <v>1</v>
      </c>
      <c r="G35" s="3"/>
      <c r="H35" s="3">
        <f t="shared" si="0"/>
        <v>32</v>
      </c>
    </row>
    <row r="36" spans="1:8" x14ac:dyDescent="0.25">
      <c r="A36" s="12" t="s">
        <v>32</v>
      </c>
      <c r="B36" s="2">
        <f t="shared" ref="B36:H36" si="4">SUM(B33:B35)</f>
        <v>0</v>
      </c>
      <c r="C36" s="2">
        <f t="shared" si="4"/>
        <v>0</v>
      </c>
      <c r="D36" s="2">
        <f t="shared" si="4"/>
        <v>0</v>
      </c>
      <c r="E36" s="2">
        <f t="shared" si="4"/>
        <v>1</v>
      </c>
      <c r="F36" s="2">
        <f t="shared" si="4"/>
        <v>2</v>
      </c>
      <c r="G36" s="2">
        <f t="shared" si="4"/>
        <v>0</v>
      </c>
      <c r="H36" s="2">
        <f t="shared" si="4"/>
        <v>88</v>
      </c>
    </row>
    <row r="37" spans="1:8" x14ac:dyDescent="0.25">
      <c r="A37" s="14" t="s">
        <v>54</v>
      </c>
      <c r="B37" s="4" t="s">
        <v>0</v>
      </c>
      <c r="C37" s="4" t="s">
        <v>1</v>
      </c>
      <c r="D37" s="4" t="s">
        <v>2</v>
      </c>
      <c r="E37" s="4" t="s">
        <v>3</v>
      </c>
      <c r="F37" s="4" t="s">
        <v>4</v>
      </c>
      <c r="G37" s="4" t="s">
        <v>5</v>
      </c>
      <c r="H37" s="4" t="s">
        <v>6</v>
      </c>
    </row>
    <row r="38" spans="1:8" ht="30" x14ac:dyDescent="0.25">
      <c r="A38" s="12" t="s">
        <v>55</v>
      </c>
      <c r="B38" s="3"/>
      <c r="C38" s="3"/>
      <c r="D38" s="3">
        <v>1</v>
      </c>
      <c r="E38" s="3"/>
      <c r="F38" s="3"/>
      <c r="G38" s="3"/>
      <c r="H38" s="3">
        <f t="shared" si="0"/>
        <v>16</v>
      </c>
    </row>
    <row r="39" spans="1:8" ht="30" x14ac:dyDescent="0.25">
      <c r="A39" s="12" t="s">
        <v>56</v>
      </c>
      <c r="B39" s="3"/>
      <c r="C39" s="3"/>
      <c r="D39" s="3">
        <v>1</v>
      </c>
      <c r="E39" s="3"/>
      <c r="F39" s="3"/>
      <c r="G39" s="3"/>
      <c r="H39" s="3">
        <f t="shared" si="0"/>
        <v>16</v>
      </c>
    </row>
    <row r="40" spans="1:8" ht="30" x14ac:dyDescent="0.25">
      <c r="A40" s="12" t="s">
        <v>57</v>
      </c>
      <c r="B40" s="3"/>
      <c r="C40" s="3"/>
      <c r="D40" s="3">
        <v>1</v>
      </c>
      <c r="E40" s="3"/>
      <c r="F40" s="3"/>
      <c r="G40" s="3"/>
      <c r="H40" s="3">
        <f t="shared" si="0"/>
        <v>16</v>
      </c>
    </row>
    <row r="41" spans="1:8" ht="30" x14ac:dyDescent="0.25">
      <c r="A41" s="12" t="s">
        <v>59</v>
      </c>
      <c r="B41" s="3"/>
      <c r="C41" s="3"/>
      <c r="D41" s="3"/>
      <c r="E41" s="3">
        <v>1</v>
      </c>
      <c r="F41" s="3"/>
      <c r="G41" s="3"/>
      <c r="H41" s="3">
        <f t="shared" si="0"/>
        <v>24</v>
      </c>
    </row>
    <row r="42" spans="1:8" ht="30" x14ac:dyDescent="0.25">
      <c r="A42" s="12" t="s">
        <v>58</v>
      </c>
      <c r="B42" s="3"/>
      <c r="C42" s="3"/>
      <c r="D42" s="3"/>
      <c r="E42" s="3">
        <v>1</v>
      </c>
      <c r="F42" s="3"/>
      <c r="G42" s="3"/>
      <c r="H42" s="3">
        <f t="shared" si="0"/>
        <v>24</v>
      </c>
    </row>
    <row r="43" spans="1:8" x14ac:dyDescent="0.25">
      <c r="A43" s="12" t="s">
        <v>32</v>
      </c>
      <c r="B43" s="2">
        <f>SUM(B38:B41)</f>
        <v>0</v>
      </c>
      <c r="C43" s="2">
        <f t="shared" ref="C43:G43" si="5">SUM(C38:C41)</f>
        <v>0</v>
      </c>
      <c r="D43" s="2">
        <f t="shared" si="5"/>
        <v>3</v>
      </c>
      <c r="E43" s="2">
        <f>SUM(E38:E42)</f>
        <v>2</v>
      </c>
      <c r="F43" s="2">
        <f t="shared" si="5"/>
        <v>0</v>
      </c>
      <c r="G43" s="2">
        <f t="shared" si="5"/>
        <v>0</v>
      </c>
      <c r="H43" s="2">
        <f>SUM(H38:H42)</f>
        <v>96</v>
      </c>
    </row>
    <row r="44" spans="1:8" x14ac:dyDescent="0.25">
      <c r="A44" s="14" t="s">
        <v>65</v>
      </c>
      <c r="B44" s="4" t="s">
        <v>0</v>
      </c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</row>
    <row r="45" spans="1:8" ht="45" x14ac:dyDescent="0.25">
      <c r="A45" s="12" t="s">
        <v>61</v>
      </c>
      <c r="B45" s="3"/>
      <c r="C45" s="3"/>
      <c r="D45" s="3"/>
      <c r="E45" s="3">
        <v>1</v>
      </c>
      <c r="F45" s="3"/>
      <c r="G45" s="3"/>
      <c r="H45" s="3">
        <f t="shared" si="0"/>
        <v>24</v>
      </c>
    </row>
    <row r="46" spans="1:8" ht="45" x14ac:dyDescent="0.25">
      <c r="A46" s="12" t="s">
        <v>60</v>
      </c>
      <c r="B46" s="3"/>
      <c r="C46" s="3"/>
      <c r="D46" s="3">
        <v>1</v>
      </c>
      <c r="E46" s="3"/>
      <c r="F46" s="3"/>
      <c r="G46" s="3"/>
      <c r="H46" s="3">
        <f t="shared" si="0"/>
        <v>16</v>
      </c>
    </row>
    <row r="47" spans="1:8" ht="45" x14ac:dyDescent="0.25">
      <c r="A47" s="12" t="s">
        <v>62</v>
      </c>
      <c r="B47" s="3"/>
      <c r="C47" s="3"/>
      <c r="D47" s="3"/>
      <c r="E47" s="3">
        <v>1</v>
      </c>
      <c r="F47" s="3"/>
      <c r="G47" s="3"/>
      <c r="H47" s="3">
        <f t="shared" si="0"/>
        <v>24</v>
      </c>
    </row>
    <row r="48" spans="1:8" ht="30" x14ac:dyDescent="0.25">
      <c r="A48" s="12" t="s">
        <v>63</v>
      </c>
      <c r="B48" s="3"/>
      <c r="C48" s="3"/>
      <c r="D48" s="3"/>
      <c r="E48" s="3">
        <v>1</v>
      </c>
      <c r="F48" s="3"/>
      <c r="G48" s="3"/>
      <c r="H48" s="3">
        <f t="shared" si="0"/>
        <v>24</v>
      </c>
    </row>
    <row r="49" spans="1:8" ht="30" x14ac:dyDescent="0.25">
      <c r="A49" s="12" t="s">
        <v>64</v>
      </c>
      <c r="B49" s="3"/>
      <c r="C49" s="3"/>
      <c r="D49" s="3">
        <v>1</v>
      </c>
      <c r="E49" s="3"/>
      <c r="F49" s="3"/>
      <c r="G49" s="3"/>
      <c r="H49" s="3">
        <f t="shared" si="0"/>
        <v>16</v>
      </c>
    </row>
    <row r="50" spans="1:8" x14ac:dyDescent="0.25">
      <c r="A50" s="12" t="s">
        <v>32</v>
      </c>
      <c r="B50" s="2">
        <f t="shared" ref="B50:H50" si="6">SUM(B45:B49)</f>
        <v>0</v>
      </c>
      <c r="C50" s="2">
        <f t="shared" si="6"/>
        <v>0</v>
      </c>
      <c r="D50" s="2">
        <f t="shared" si="6"/>
        <v>2</v>
      </c>
      <c r="E50" s="2">
        <f t="shared" si="6"/>
        <v>3</v>
      </c>
      <c r="F50" s="2">
        <f t="shared" si="6"/>
        <v>0</v>
      </c>
      <c r="G50" s="2">
        <f t="shared" si="6"/>
        <v>0</v>
      </c>
      <c r="H50" s="2">
        <f t="shared" si="6"/>
        <v>104</v>
      </c>
    </row>
    <row r="51" spans="1:8" x14ac:dyDescent="0.25">
      <c r="A51" s="14" t="s">
        <v>66</v>
      </c>
      <c r="B51" s="4" t="s">
        <v>0</v>
      </c>
      <c r="C51" s="4" t="s">
        <v>1</v>
      </c>
      <c r="D51" s="4" t="s">
        <v>2</v>
      </c>
      <c r="E51" s="4" t="s">
        <v>3</v>
      </c>
      <c r="F51" s="4" t="s">
        <v>4</v>
      </c>
      <c r="G51" s="4" t="s">
        <v>5</v>
      </c>
      <c r="H51" s="4" t="s">
        <v>6</v>
      </c>
    </row>
    <row r="52" spans="1:8" ht="45" x14ac:dyDescent="0.25">
      <c r="A52" s="12" t="s">
        <v>67</v>
      </c>
      <c r="B52" s="3"/>
      <c r="C52" s="3"/>
      <c r="D52" s="3">
        <v>1</v>
      </c>
      <c r="E52" s="3"/>
      <c r="F52" s="3"/>
      <c r="G52" s="3"/>
      <c r="H52" s="3">
        <f t="shared" si="0"/>
        <v>16</v>
      </c>
    </row>
    <row r="53" spans="1:8" ht="45" x14ac:dyDescent="0.25">
      <c r="A53" s="12" t="s">
        <v>68</v>
      </c>
      <c r="B53" s="3"/>
      <c r="C53" s="3">
        <v>1</v>
      </c>
      <c r="D53" s="3"/>
      <c r="E53" s="3"/>
      <c r="F53" s="3"/>
      <c r="G53" s="3"/>
      <c r="H53" s="3">
        <f t="shared" si="0"/>
        <v>8</v>
      </c>
    </row>
    <row r="54" spans="1:8" ht="45" x14ac:dyDescent="0.25">
      <c r="A54" s="12" t="s">
        <v>69</v>
      </c>
      <c r="B54" s="3"/>
      <c r="C54" s="3"/>
      <c r="D54" s="3">
        <v>1</v>
      </c>
      <c r="E54" s="3"/>
      <c r="F54" s="3"/>
      <c r="G54" s="3"/>
      <c r="H54" s="3">
        <f t="shared" si="0"/>
        <v>16</v>
      </c>
    </row>
    <row r="55" spans="1:8" ht="30" x14ac:dyDescent="0.25">
      <c r="A55" s="12" t="s">
        <v>70</v>
      </c>
      <c r="B55" s="3"/>
      <c r="C55" s="3"/>
      <c r="D55" s="3"/>
      <c r="E55" s="3">
        <v>1</v>
      </c>
      <c r="F55" s="3"/>
      <c r="G55" s="3"/>
      <c r="H55" s="3">
        <f t="shared" si="0"/>
        <v>24</v>
      </c>
    </row>
    <row r="56" spans="1:8" ht="45" x14ac:dyDescent="0.25">
      <c r="A56" s="12" t="s">
        <v>71</v>
      </c>
      <c r="B56" s="3"/>
      <c r="C56" s="3"/>
      <c r="D56" s="3"/>
      <c r="E56" s="3">
        <v>1</v>
      </c>
      <c r="F56" s="3"/>
      <c r="G56" s="3"/>
      <c r="H56" s="3">
        <f t="shared" si="0"/>
        <v>24</v>
      </c>
    </row>
    <row r="57" spans="1:8" ht="30" x14ac:dyDescent="0.25">
      <c r="A57" s="12" t="s">
        <v>72</v>
      </c>
      <c r="B57" s="3"/>
      <c r="C57" s="3"/>
      <c r="D57" s="3">
        <v>1</v>
      </c>
      <c r="E57" s="3"/>
      <c r="F57" s="3"/>
      <c r="G57" s="3"/>
      <c r="H57" s="3">
        <f t="shared" si="0"/>
        <v>16</v>
      </c>
    </row>
    <row r="58" spans="1:8" ht="45" x14ac:dyDescent="0.25">
      <c r="A58" s="12" t="s">
        <v>73</v>
      </c>
      <c r="B58" s="3"/>
      <c r="C58" s="3"/>
      <c r="D58" s="3">
        <v>1</v>
      </c>
      <c r="E58" s="3"/>
      <c r="F58" s="3"/>
      <c r="G58" s="3"/>
      <c r="H58" s="3">
        <f t="shared" si="0"/>
        <v>16</v>
      </c>
    </row>
    <row r="59" spans="1:8" x14ac:dyDescent="0.25">
      <c r="A59" s="12" t="s">
        <v>32</v>
      </c>
      <c r="B59" s="2">
        <f>SUM(B52:B57)</f>
        <v>0</v>
      </c>
      <c r="C59" s="2">
        <f t="shared" ref="C59:F59" si="7">SUM(C52:C57)</f>
        <v>1</v>
      </c>
      <c r="D59" s="2">
        <f>SUM(D52:D58)</f>
        <v>4</v>
      </c>
      <c r="E59" s="2">
        <f>SUM(E52:E57)</f>
        <v>2</v>
      </c>
      <c r="F59" s="2">
        <f t="shared" si="7"/>
        <v>0</v>
      </c>
      <c r="G59" s="2">
        <f>SUM(G52:G57)</f>
        <v>0</v>
      </c>
      <c r="H59" s="2">
        <f>SUM(H52:H58)</f>
        <v>120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688C-BC6D-4A5D-867B-49D888CC8E15}">
  <dimension ref="B2:I7"/>
  <sheetViews>
    <sheetView tabSelected="1" workbookViewId="0">
      <selection activeCell="C9" sqref="C9"/>
    </sheetView>
  </sheetViews>
  <sheetFormatPr baseColWidth="10" defaultRowHeight="15" x14ac:dyDescent="0.25"/>
  <cols>
    <col min="2" max="2" width="15.42578125" bestFit="1" customWidth="1"/>
    <col min="3" max="5" width="13.5703125" bestFit="1" customWidth="1"/>
    <col min="8" max="8" width="14" bestFit="1" customWidth="1"/>
    <col min="9" max="9" width="12" bestFit="1" customWidth="1"/>
  </cols>
  <sheetData>
    <row r="2" spans="2:9" x14ac:dyDescent="0.25">
      <c r="B2" s="16" t="s">
        <v>27</v>
      </c>
      <c r="C2" s="16"/>
      <c r="D2" s="16"/>
      <c r="E2" s="16"/>
    </row>
    <row r="3" spans="2:9" x14ac:dyDescent="0.25">
      <c r="B3" s="1" t="s">
        <v>28</v>
      </c>
      <c r="C3" s="4">
        <v>1</v>
      </c>
      <c r="D3" s="4">
        <v>2</v>
      </c>
      <c r="E3" s="4">
        <v>3</v>
      </c>
      <c r="H3" s="2" t="s">
        <v>31</v>
      </c>
      <c r="I3" s="11">
        <v>964000</v>
      </c>
    </row>
    <row r="4" spans="2:9" x14ac:dyDescent="0.25">
      <c r="B4" s="3" t="s">
        <v>9</v>
      </c>
      <c r="C4" s="3">
        <f>Estimacion!K12</f>
        <v>119</v>
      </c>
      <c r="D4" s="3">
        <f>Estimacion!L12</f>
        <v>60</v>
      </c>
      <c r="E4" s="3">
        <f>Estimacion!M12</f>
        <v>40</v>
      </c>
      <c r="H4" s="2" t="s">
        <v>30</v>
      </c>
      <c r="I4" s="11">
        <f>(I3/31)/8</f>
        <v>3887.0967741935483</v>
      </c>
    </row>
    <row r="5" spans="2:9" x14ac:dyDescent="0.25">
      <c r="B5" s="3" t="s">
        <v>10</v>
      </c>
      <c r="C5" s="8">
        <f>Estimacion!K13</f>
        <v>21</v>
      </c>
      <c r="D5" s="8">
        <f>Estimacion!L13</f>
        <v>11</v>
      </c>
      <c r="E5" s="8">
        <f>Estimacion!M13</f>
        <v>7</v>
      </c>
    </row>
    <row r="6" spans="2:9" x14ac:dyDescent="0.25">
      <c r="B6" s="3" t="s">
        <v>11</v>
      </c>
      <c r="C6" s="8">
        <f>Estimacion!K14</f>
        <v>5</v>
      </c>
      <c r="D6" s="8">
        <f>Estimacion!L14</f>
        <v>3</v>
      </c>
      <c r="E6" s="8">
        <f>Estimacion!M14</f>
        <v>1</v>
      </c>
    </row>
    <row r="7" spans="2:9" x14ac:dyDescent="0.25">
      <c r="B7" s="2" t="s">
        <v>29</v>
      </c>
      <c r="C7" s="9">
        <f>I4*Estimacion!R7</f>
        <v>3700516.1290322579</v>
      </c>
      <c r="D7" s="9">
        <f>C7/2</f>
        <v>1850258.064516129</v>
      </c>
      <c r="E7" s="9">
        <f>C7/3</f>
        <v>1233505.3763440859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Estimacion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ERWIN ENRIQUE NUNEZ BRACHO</cp:lastModifiedBy>
  <dcterms:created xsi:type="dcterms:W3CDTF">2025-11-09T16:48:36Z</dcterms:created>
  <dcterms:modified xsi:type="dcterms:W3CDTF">2025-12-09T00:51:28Z</dcterms:modified>
</cp:coreProperties>
</file>